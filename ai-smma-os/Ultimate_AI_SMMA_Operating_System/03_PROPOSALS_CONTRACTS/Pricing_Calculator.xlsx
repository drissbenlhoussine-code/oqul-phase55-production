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Pricing" sheetId="1" state="visible" r:id="rId1"/>
    <sheet xmlns:r="http://schemas.openxmlformats.org/officeDocument/2006/relationships" name="Package Builder" sheetId="2" state="visible" r:id="rId2"/>
    <sheet xmlns:r="http://schemas.openxmlformats.org/officeDocument/2006/relationships" name="Break-Even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3460"/>
      <sz val="14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2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AI SMMA OS — Service Pricing Calculator</t>
        </is>
      </c>
    </row>
    <row r="2">
      <c r="A2" t="inlineStr"/>
    </row>
    <row r="3">
      <c r="A3" s="2" t="inlineStr">
        <is>
          <t>Deliverable</t>
        </is>
      </c>
      <c r="B3" s="2" t="inlineStr">
        <is>
          <t>Unit</t>
        </is>
      </c>
      <c r="C3" s="2" t="inlineStr">
        <is>
          <t>Cost to Deliver (€)</t>
        </is>
      </c>
      <c r="D3" s="2" t="inlineStr">
        <is>
          <t>Markup %</t>
        </is>
      </c>
      <c r="E3" s="2" t="inlineStr">
        <is>
          <t>Client Price (€)</t>
        </is>
      </c>
      <c r="F3" s="2" t="inlineStr">
        <is>
          <t>Profit (€)</t>
        </is>
      </c>
      <c r="G3" s="2" t="inlineStr">
        <is>
          <t>Margin %</t>
        </is>
      </c>
    </row>
    <row r="4">
      <c r="A4" s="3" t="inlineStr">
        <is>
          <t>Static Graphic Post</t>
        </is>
      </c>
      <c r="B4" s="3" t="inlineStr">
        <is>
          <t>Per post</t>
        </is>
      </c>
      <c r="C4" s="3" t="inlineStr">
        <is>
          <t>8</t>
        </is>
      </c>
      <c r="D4" s="3" t="inlineStr">
        <is>
          <t>250%</t>
        </is>
      </c>
      <c r="E4" s="3" t="inlineStr">
        <is>
          <t>28</t>
        </is>
      </c>
      <c r="F4" s="3" t="inlineStr">
        <is>
          <t>20</t>
        </is>
      </c>
      <c r="G4" s="3" t="inlineStr">
        <is>
          <t>71%</t>
        </is>
      </c>
    </row>
    <row r="5">
      <c r="A5" s="4" t="inlineStr">
        <is>
          <t>Carousel Post (5-7 slides)</t>
        </is>
      </c>
      <c r="B5" s="4" t="inlineStr">
        <is>
          <t>Per carousel</t>
        </is>
      </c>
      <c r="C5" s="4" t="inlineStr">
        <is>
          <t>18</t>
        </is>
      </c>
      <c r="D5" s="4" t="inlineStr">
        <is>
          <t>200%</t>
        </is>
      </c>
      <c r="E5" s="4" t="inlineStr">
        <is>
          <t>54</t>
        </is>
      </c>
      <c r="F5" s="4" t="inlineStr">
        <is>
          <t>36</t>
        </is>
      </c>
      <c r="G5" s="4" t="inlineStr">
        <is>
          <t>67%</t>
        </is>
      </c>
    </row>
    <row r="6">
      <c r="A6" s="3" t="inlineStr">
        <is>
          <t>Reel Script + Caption</t>
        </is>
      </c>
      <c r="B6" s="3" t="inlineStr">
        <is>
          <t>Per reel</t>
        </is>
      </c>
      <c r="C6" s="3" t="inlineStr">
        <is>
          <t>12</t>
        </is>
      </c>
      <c r="D6" s="3" t="inlineStr">
        <is>
          <t>225%</t>
        </is>
      </c>
      <c r="E6" s="3" t="inlineStr">
        <is>
          <t>39</t>
        </is>
      </c>
      <c r="F6" s="3" t="inlineStr">
        <is>
          <t>27</t>
        </is>
      </c>
      <c r="G6" s="3" t="inlineStr">
        <is>
          <t>69%</t>
        </is>
      </c>
    </row>
    <row r="7">
      <c r="A7" s="4" t="inlineStr">
        <is>
          <t>Reel Editing</t>
        </is>
      </c>
      <c r="B7" s="4" t="inlineStr">
        <is>
          <t>Per reel</t>
        </is>
      </c>
      <c r="C7" s="4" t="inlineStr">
        <is>
          <t>25</t>
        </is>
      </c>
      <c r="D7" s="4" t="inlineStr">
        <is>
          <t>180%</t>
        </is>
      </c>
      <c r="E7" s="4" t="inlineStr">
        <is>
          <t>70</t>
        </is>
      </c>
      <c r="F7" s="4" t="inlineStr">
        <is>
          <t>45</t>
        </is>
      </c>
      <c r="G7" s="4" t="inlineStr">
        <is>
          <t>64%</t>
        </is>
      </c>
    </row>
    <row r="8">
      <c r="A8" s="3" t="inlineStr">
        <is>
          <t>Story Set (3 stories)</t>
        </is>
      </c>
      <c r="B8" s="3" t="inlineStr">
        <is>
          <t>Per set</t>
        </is>
      </c>
      <c r="C8" s="3" t="inlineStr">
        <is>
          <t>6</t>
        </is>
      </c>
      <c r="D8" s="3" t="inlineStr">
        <is>
          <t>233%</t>
        </is>
      </c>
      <c r="E8" s="3" t="inlineStr">
        <is>
          <t>20</t>
        </is>
      </c>
      <c r="F8" s="3" t="inlineStr">
        <is>
          <t>14</t>
        </is>
      </c>
      <c r="G8" s="3" t="inlineStr">
        <is>
          <t>70%</t>
        </is>
      </c>
    </row>
    <row r="9">
      <c r="A9" s="4" t="inlineStr">
        <is>
          <t>Long-Form Caption Writing</t>
        </is>
      </c>
      <c r="B9" s="4" t="inlineStr">
        <is>
          <t>Per caption</t>
        </is>
      </c>
      <c r="C9" s="4" t="inlineStr">
        <is>
          <t>10</t>
        </is>
      </c>
      <c r="D9" s="4" t="inlineStr">
        <is>
          <t>200%</t>
        </is>
      </c>
      <c r="E9" s="4" t="inlineStr">
        <is>
          <t>30</t>
        </is>
      </c>
      <c r="F9" s="4" t="inlineStr">
        <is>
          <t>20</t>
        </is>
      </c>
      <c r="G9" s="4" t="inlineStr">
        <is>
          <t>67%</t>
        </is>
      </c>
    </row>
    <row r="10">
      <c r="A10" s="3" t="inlineStr">
        <is>
          <t>Community Management</t>
        </is>
      </c>
      <c r="B10" s="3" t="inlineStr">
        <is>
          <t>Per hour</t>
        </is>
      </c>
      <c r="C10" s="3" t="inlineStr">
        <is>
          <t>15</t>
        </is>
      </c>
      <c r="D10" s="3" t="inlineStr">
        <is>
          <t>200%</t>
        </is>
      </c>
      <c r="E10" s="3" t="inlineStr">
        <is>
          <t>45</t>
        </is>
      </c>
      <c r="F10" s="3" t="inlineStr">
        <is>
          <t>30</t>
        </is>
      </c>
      <c r="G10" s="3" t="inlineStr">
        <is>
          <t>67%</t>
        </is>
      </c>
    </row>
    <row r="11">
      <c r="A11" s="4" t="inlineStr">
        <is>
          <t>Monthly Report</t>
        </is>
      </c>
      <c r="B11" s="4" t="inlineStr">
        <is>
          <t>Per report</t>
        </is>
      </c>
      <c r="C11" s="4" t="inlineStr">
        <is>
          <t>30</t>
        </is>
      </c>
      <c r="D11" s="4" t="inlineStr">
        <is>
          <t>200%</t>
        </is>
      </c>
      <c r="E11" s="4" t="inlineStr">
        <is>
          <t>90</t>
        </is>
      </c>
      <c r="F11" s="4" t="inlineStr">
        <is>
          <t>60</t>
        </is>
      </c>
      <c r="G11" s="4" t="inlineStr">
        <is>
          <t>67%</t>
        </is>
      </c>
    </row>
    <row r="12">
      <c r="A12" s="3" t="inlineStr">
        <is>
          <t>Ad Campaign Setup</t>
        </is>
      </c>
      <c r="B12" s="3" t="inlineStr">
        <is>
          <t>Per campaign</t>
        </is>
      </c>
      <c r="C12" s="3" t="inlineStr">
        <is>
          <t>80</t>
        </is>
      </c>
      <c r="D12" s="3" t="inlineStr">
        <is>
          <t>188%</t>
        </is>
      </c>
      <c r="E12" s="3" t="inlineStr">
        <is>
          <t>230</t>
        </is>
      </c>
      <c r="F12" s="3" t="inlineStr">
        <is>
          <t>150</t>
        </is>
      </c>
      <c r="G12" s="3" t="inlineStr">
        <is>
          <t>65%</t>
        </is>
      </c>
    </row>
    <row r="13">
      <c r="A13" s="4" t="inlineStr">
        <is>
          <t>Ad Copy (1 ad set)</t>
        </is>
      </c>
      <c r="B13" s="4" t="inlineStr">
        <is>
          <t>Per set</t>
        </is>
      </c>
      <c r="C13" s="4" t="inlineStr">
        <is>
          <t>20</t>
        </is>
      </c>
      <c r="D13" s="4" t="inlineStr">
        <is>
          <t>225%</t>
        </is>
      </c>
      <c r="E13" s="4" t="inlineStr">
        <is>
          <t>65</t>
        </is>
      </c>
      <c r="F13" s="4" t="inlineStr">
        <is>
          <t>45</t>
        </is>
      </c>
      <c r="G13" s="4" t="inlineStr">
        <is>
          <t>69%</t>
        </is>
      </c>
    </row>
    <row r="14">
      <c r="A14" s="3" t="inlineStr">
        <is>
          <t>Strategy Call (30 min)</t>
        </is>
      </c>
      <c r="B14" s="3" t="inlineStr">
        <is>
          <t>Per call</t>
        </is>
      </c>
      <c r="C14" s="3" t="inlineStr">
        <is>
          <t>25</t>
        </is>
      </c>
      <c r="D14" s="3" t="inlineStr">
        <is>
          <t>200%</t>
        </is>
      </c>
      <c r="E14" s="3" t="inlineStr">
        <is>
          <t>75</t>
        </is>
      </c>
      <c r="F14" s="3" t="inlineStr">
        <is>
          <t>50</t>
        </is>
      </c>
      <c r="G14" s="3" t="inlineStr">
        <is>
          <t>67%</t>
        </is>
      </c>
    </row>
    <row r="15">
      <c r="A15" s="4" t="inlineStr">
        <is>
          <t>Competitor Research</t>
        </is>
      </c>
      <c r="B15" s="4" t="inlineStr">
        <is>
          <t>Per month</t>
        </is>
      </c>
      <c r="C15" s="4" t="inlineStr">
        <is>
          <t>20</t>
        </is>
      </c>
      <c r="D15" s="4" t="inlineStr">
        <is>
          <t>250%</t>
        </is>
      </c>
      <c r="E15" s="4" t="inlineStr">
        <is>
          <t>70</t>
        </is>
      </c>
      <c r="F15" s="4" t="inlineStr">
        <is>
          <t>50</t>
        </is>
      </c>
      <c r="G15" s="4" t="inlineStr">
        <is>
          <t>71%</t>
        </is>
      </c>
    </row>
    <row r="16">
      <c r="A16" s="3" t="inlineStr">
        <is>
          <t>Content Calendar Creation</t>
        </is>
      </c>
      <c r="B16" s="3" t="inlineStr">
        <is>
          <t>Per month</t>
        </is>
      </c>
      <c r="C16" s="3" t="inlineStr">
        <is>
          <t>25</t>
        </is>
      </c>
      <c r="D16" s="3" t="inlineStr">
        <is>
          <t>200%</t>
        </is>
      </c>
      <c r="E16" s="3" t="inlineStr">
        <is>
          <t>75</t>
        </is>
      </c>
      <c r="F16" s="3" t="inlineStr">
        <is>
          <t>50</t>
        </is>
      </c>
      <c r="G16" s="3" t="inlineStr">
        <is>
          <t>67%</t>
        </is>
      </c>
    </row>
    <row r="17">
      <c r="A17" s="4" t="inlineStr">
        <is>
          <t>Hashtag Research</t>
        </is>
      </c>
      <c r="B17" s="4" t="inlineStr">
        <is>
          <t>Per set</t>
        </is>
      </c>
      <c r="C17" s="4" t="inlineStr">
        <is>
          <t>10</t>
        </is>
      </c>
      <c r="D17" s="4" t="inlineStr">
        <is>
          <t>200%</t>
        </is>
      </c>
      <c r="E17" s="4" t="inlineStr">
        <is>
          <t>30</t>
        </is>
      </c>
      <c r="F17" s="4" t="inlineStr">
        <is>
          <t>20</t>
        </is>
      </c>
      <c r="G17" s="4" t="inlineStr">
        <is>
          <t>67%</t>
        </is>
      </c>
    </row>
    <row r="18">
      <c r="A18" s="3" t="inlineStr">
        <is>
          <t>Platform Setup/Optimization</t>
        </is>
      </c>
      <c r="B18" s="3" t="inlineStr">
        <is>
          <t>One-time</t>
        </is>
      </c>
      <c r="C18" s="3" t="inlineStr">
        <is>
          <t>60</t>
        </is>
      </c>
      <c r="D18" s="3" t="inlineStr">
        <is>
          <t>233%</t>
        </is>
      </c>
      <c r="E18" s="3" t="inlineStr">
        <is>
          <t>200</t>
        </is>
      </c>
      <c r="F18" s="3" t="inlineStr">
        <is>
          <t>140</t>
        </is>
      </c>
      <c r="G18" s="3" t="inlineStr">
        <is>
          <t>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SMMA Package Builder — Build Custom Packages</t>
        </is>
      </c>
    </row>
    <row r="2">
      <c r="A2" t="inlineStr"/>
    </row>
    <row r="3">
      <c r="A3" s="2" t="inlineStr">
        <is>
          <t>Deliverable</t>
        </is>
      </c>
      <c r="B3" s="2" t="inlineStr">
        <is>
          <t>Qty/Month</t>
        </is>
      </c>
      <c r="C3" s="2" t="inlineStr">
        <is>
          <t>Unit Cost (€)</t>
        </is>
      </c>
      <c r="D3" s="2" t="inlineStr">
        <is>
          <t>Total Cost (€)</t>
        </is>
      </c>
      <c r="E3" s="2" t="inlineStr">
        <is>
          <t>Included in Package?</t>
        </is>
      </c>
    </row>
    <row r="4">
      <c r="A4" s="5" t="inlineStr">
        <is>
          <t>Static Graphic Posts</t>
        </is>
      </c>
      <c r="B4" s="5" t="inlineStr">
        <is>
          <t>8</t>
        </is>
      </c>
      <c r="C4" s="5" t="inlineStr">
        <is>
          <t>28</t>
        </is>
      </c>
      <c r="D4" s="5">
        <f>B4*C4</f>
        <v/>
      </c>
      <c r="E4" s="5" t="inlineStr">
        <is>
          <t>YES</t>
        </is>
      </c>
    </row>
    <row r="5">
      <c r="A5" s="6" t="inlineStr">
        <is>
          <t>Carousel Posts</t>
        </is>
      </c>
      <c r="B5" s="6" t="inlineStr">
        <is>
          <t>4</t>
        </is>
      </c>
      <c r="C5" s="6" t="inlineStr">
        <is>
          <t>54</t>
        </is>
      </c>
      <c r="D5" s="6">
        <f>B5*C5</f>
        <v/>
      </c>
      <c r="E5" s="6" t="inlineStr">
        <is>
          <t>YES</t>
        </is>
      </c>
    </row>
    <row r="6">
      <c r="A6" s="5" t="inlineStr">
        <is>
          <t>Reel Scripts + Captions</t>
        </is>
      </c>
      <c r="B6" s="5" t="inlineStr">
        <is>
          <t>4</t>
        </is>
      </c>
      <c r="C6" s="5" t="inlineStr">
        <is>
          <t>39</t>
        </is>
      </c>
      <c r="D6" s="5">
        <f>B6*C6</f>
        <v/>
      </c>
      <c r="E6" s="5" t="inlineStr">
        <is>
          <t>YES</t>
        </is>
      </c>
    </row>
    <row r="7">
      <c r="A7" s="6" t="inlineStr">
        <is>
          <t>Story Sets</t>
        </is>
      </c>
      <c r="B7" s="6" t="inlineStr">
        <is>
          <t>8</t>
        </is>
      </c>
      <c r="C7" s="6" t="inlineStr">
        <is>
          <t>20</t>
        </is>
      </c>
      <c r="D7" s="6">
        <f>B7*C7</f>
        <v/>
      </c>
      <c r="E7" s="6" t="inlineStr">
        <is>
          <t>YES</t>
        </is>
      </c>
    </row>
    <row r="8">
      <c r="A8" s="5" t="inlineStr">
        <is>
          <t>Community Management (hrs)</t>
        </is>
      </c>
      <c r="B8" s="5" t="inlineStr">
        <is>
          <t>10</t>
        </is>
      </c>
      <c r="C8" s="5" t="inlineStr">
        <is>
          <t>45</t>
        </is>
      </c>
      <c r="D8" s="5">
        <f>B8*C8</f>
        <v/>
      </c>
      <c r="E8" s="5" t="inlineStr">
        <is>
          <t>YES</t>
        </is>
      </c>
    </row>
    <row r="9">
      <c r="A9" s="6" t="inlineStr">
        <is>
          <t>Monthly Report</t>
        </is>
      </c>
      <c r="B9" s="6" t="inlineStr">
        <is>
          <t>1</t>
        </is>
      </c>
      <c r="C9" s="6" t="inlineStr">
        <is>
          <t>90</t>
        </is>
      </c>
      <c r="D9" s="6">
        <f>B9*C9</f>
        <v/>
      </c>
      <c r="E9" s="6" t="inlineStr">
        <is>
          <t>YES</t>
        </is>
      </c>
    </row>
    <row r="10">
      <c r="A10" s="5" t="inlineStr">
        <is>
          <t>Strategy Call</t>
        </is>
      </c>
      <c r="B10" s="5" t="inlineStr">
        <is>
          <t>1</t>
        </is>
      </c>
      <c r="C10" s="5" t="inlineStr">
        <is>
          <t>75</t>
        </is>
      </c>
      <c r="D10" s="5">
        <f>B10*C10</f>
        <v/>
      </c>
      <c r="E10" s="5" t="inlineStr">
        <is>
          <t>YES</t>
        </is>
      </c>
    </row>
    <row r="11">
      <c r="A11" s="6" t="inlineStr">
        <is>
          <t>Ad Campaign Management</t>
        </is>
      </c>
      <c r="B11" s="6" t="inlineStr">
        <is>
          <t>0</t>
        </is>
      </c>
      <c r="C11" s="6" t="inlineStr">
        <is>
          <t>230</t>
        </is>
      </c>
      <c r="D11" s="6">
        <f>B11*C11</f>
        <v/>
      </c>
      <c r="E11" s="6" t="inlineStr">
        <is>
          <t>NO</t>
        </is>
      </c>
    </row>
    <row r="12">
      <c r="A12" s="5" t="inlineStr">
        <is>
          <t>Ad Copy</t>
        </is>
      </c>
      <c r="B12" s="5" t="inlineStr">
        <is>
          <t>0</t>
        </is>
      </c>
      <c r="C12" s="5" t="inlineStr">
        <is>
          <t>65</t>
        </is>
      </c>
      <c r="D12" s="5">
        <f>B12*C12</f>
        <v/>
      </c>
      <c r="E12" s="5" t="inlineStr">
        <is>
          <t>NO</t>
        </is>
      </c>
    </row>
    <row r="13">
      <c r="A13" s="6" t="inlineStr">
        <is>
          <t>Competitor Research</t>
        </is>
      </c>
      <c r="B13" s="6" t="inlineStr">
        <is>
          <t>1</t>
        </is>
      </c>
      <c r="C13" s="6" t="inlineStr">
        <is>
          <t>70</t>
        </is>
      </c>
      <c r="D13" s="6">
        <f>B13*C13</f>
        <v/>
      </c>
      <c r="E13" s="6" t="inlineStr">
        <is>
          <t>YES</t>
        </is>
      </c>
    </row>
    <row r="14">
      <c r="A14" s="5" t="inlineStr">
        <is>
          <t>Influencer Outreach</t>
        </is>
      </c>
      <c r="B14" s="5" t="inlineStr">
        <is>
          <t>0</t>
        </is>
      </c>
      <c r="C14" s="5" t="inlineStr">
        <is>
          <t>200</t>
        </is>
      </c>
      <c r="D14" s="5">
        <f>B14*C14</f>
        <v/>
      </c>
      <c r="E14" s="5" t="inlineStr">
        <is>
          <t>NO</t>
        </is>
      </c>
    </row>
    <row r="15">
      <c r="A15" t="inlineStr"/>
    </row>
    <row r="16">
      <c r="A16" t="inlineStr">
        <is>
          <t>TOTAL COST TO DELIVER</t>
        </is>
      </c>
      <c r="B16" t="inlineStr"/>
      <c r="C16" t="inlineStr"/>
      <c r="D16">
        <f>SUM(D4:D14)</f>
        <v/>
      </c>
      <c r="E16" t="inlineStr"/>
    </row>
    <row r="17">
      <c r="A17" t="inlineStr">
        <is>
          <t>TARGET CLIENT PRICE (€)</t>
        </is>
      </c>
      <c r="B17" t="inlineStr">
        <is>
          <t>1500</t>
        </is>
      </c>
      <c r="C17" t="inlineStr"/>
      <c r="D17" t="inlineStr"/>
      <c r="E17" t="inlineStr">
        <is>
          <t>Enter your package price here</t>
        </is>
      </c>
    </row>
    <row r="18">
      <c r="A18" t="inlineStr">
        <is>
          <t>GROSS PROFIT</t>
        </is>
      </c>
      <c r="B18" t="inlineStr"/>
      <c r="C18" t="inlineStr"/>
      <c r="D18">
        <f>B17-D16</f>
        <v/>
      </c>
      <c r="E18" t="inlineStr"/>
    </row>
    <row r="19">
      <c r="A19" t="inlineStr">
        <is>
          <t>GROSS MARGIN %</t>
        </is>
      </c>
      <c r="B19" t="inlineStr"/>
      <c r="C19" t="inlineStr"/>
      <c r="D19">
        <f>D18/B17</f>
        <v/>
      </c>
      <c r="E19" t="inlineStr">
        <is>
          <t>Format this cell as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Break-Even Calculator — Know Your Numbers</t>
        </is>
      </c>
    </row>
    <row r="2">
      <c r="A2" t="inlineStr"/>
    </row>
    <row r="3">
      <c r="A3" s="7" t="inlineStr">
        <is>
          <t>MONTHLY FIXED EXPENSES</t>
        </is>
      </c>
      <c r="B3" s="7" t="inlineStr">
        <is>
          <t>Amount (€)</t>
        </is>
      </c>
    </row>
    <row r="4">
      <c r="A4" s="8" t="inlineStr">
        <is>
          <t>Graphic design software (Canva Pro)</t>
        </is>
      </c>
      <c r="B4" s="8" t="inlineStr">
        <is>
          <t>15</t>
        </is>
      </c>
    </row>
    <row r="5">
      <c r="A5" s="9" t="inlineStr">
        <is>
          <t>Social media scheduling tool (Buffer/Later)</t>
        </is>
      </c>
      <c r="B5" s="9" t="inlineStr">
        <is>
          <t>18</t>
        </is>
      </c>
    </row>
    <row r="6">
      <c r="A6" s="8" t="inlineStr">
        <is>
          <t>AI tools (ChatGPT Plus + Claude)</t>
        </is>
      </c>
      <c r="B6" s="8" t="inlineStr">
        <is>
          <t>40</t>
        </is>
      </c>
    </row>
    <row r="7">
      <c r="A7" s="9" t="inlineStr">
        <is>
          <t>Video editing software</t>
        </is>
      </c>
      <c r="B7" s="9" t="inlineStr">
        <is>
          <t>25</t>
        </is>
      </c>
    </row>
    <row r="8">
      <c r="A8" s="8" t="inlineStr">
        <is>
          <t>Email marketing tool</t>
        </is>
      </c>
      <c r="B8" s="8" t="inlineStr">
        <is>
          <t>30</t>
        </is>
      </c>
    </row>
    <row r="9">
      <c r="A9" s="9" t="inlineStr">
        <is>
          <t>CRM / project management</t>
        </is>
      </c>
      <c r="B9" s="9" t="inlineStr">
        <is>
          <t>15</t>
        </is>
      </c>
    </row>
    <row r="10">
      <c r="A10" s="8" t="inlineStr">
        <is>
          <t>Domain + website hosting</t>
        </is>
      </c>
      <c r="B10" s="8" t="inlineStr">
        <is>
          <t>10</t>
        </is>
      </c>
    </row>
    <row r="11">
      <c r="A11" s="9" t="inlineStr">
        <is>
          <t>Accounting software</t>
        </is>
      </c>
      <c r="B11" s="9" t="inlineStr">
        <is>
          <t>25</t>
        </is>
      </c>
    </row>
    <row r="12">
      <c r="A12" s="8" t="inlineStr">
        <is>
          <t>Workspace / coworking</t>
        </is>
      </c>
      <c r="B12" s="8" t="inlineStr">
        <is>
          <t>150</t>
        </is>
      </c>
    </row>
    <row r="13">
      <c r="A13" s="9" t="inlineStr">
        <is>
          <t>Phone and internet</t>
        </is>
      </c>
      <c r="B13" s="9" t="inlineStr">
        <is>
          <t>80</t>
        </is>
      </c>
    </row>
    <row r="14">
      <c r="A14" s="8" t="inlineStr">
        <is>
          <t>Marketing (own agency ads/content)</t>
        </is>
      </c>
      <c r="B14" s="8" t="inlineStr">
        <is>
          <t>100</t>
        </is>
      </c>
    </row>
    <row r="15">
      <c r="A15" s="9" t="inlineStr">
        <is>
          <t>Education and courses</t>
        </is>
      </c>
      <c r="B15" s="9" t="inlineStr">
        <is>
          <t>50</t>
        </is>
      </c>
    </row>
    <row r="16">
      <c r="A16" s="10" t="inlineStr">
        <is>
          <t>TOTAL FIXED EXPENSES</t>
        </is>
      </c>
      <c r="B16" s="10">
        <f>SUM(B4:B14)</f>
        <v/>
      </c>
    </row>
    <row r="17">
      <c r="A17" t="inlineStr"/>
    </row>
    <row r="18">
      <c r="A18" t="inlineStr">
        <is>
          <t>PRICING AND HOURS INPUT</t>
        </is>
      </c>
      <c r="B18" t="inlineStr">
        <is>
          <t>Value</t>
        </is>
      </c>
    </row>
    <row r="19">
      <c r="A19" t="inlineStr">
        <is>
          <t>Your average package price (€/month)</t>
        </is>
      </c>
      <c r="B19" t="inlineStr">
        <is>
          <t>1500</t>
        </is>
      </c>
    </row>
    <row r="20">
      <c r="A20" t="inlineStr">
        <is>
          <t>Hours spent per client per month</t>
        </is>
      </c>
      <c r="B20" t="inlineStr">
        <is>
          <t>20</t>
        </is>
      </c>
    </row>
    <row r="21">
      <c r="A21" t="inlineStr">
        <is>
          <t>Your target hourly rate (€/hr)</t>
        </is>
      </c>
      <c r="B21" t="inlineStr">
        <is>
          <t>75</t>
        </is>
      </c>
    </row>
    <row r="22">
      <c r="A22" t="inlineStr">
        <is>
          <t>Your personal monthly salary target (€)</t>
        </is>
      </c>
      <c r="B22" t="inlineStr">
        <is>
          <t>3000</t>
        </is>
      </c>
    </row>
    <row r="23">
      <c r="A23" t="inlineStr"/>
    </row>
    <row r="24">
      <c r="A24" t="inlineStr">
        <is>
          <t>BREAK-EVEN OUTPUTS</t>
        </is>
      </c>
      <c r="B24" t="inlineStr">
        <is>
          <t>Calculation</t>
        </is>
      </c>
    </row>
    <row r="25">
      <c r="A25" t="inlineStr">
        <is>
          <t>Clients needed to cover fixed expenses</t>
        </is>
      </c>
      <c r="B25">
        <f>ROUNDUP(B16/B20,0)</f>
        <v/>
      </c>
    </row>
    <row r="26">
      <c r="A26" t="inlineStr">
        <is>
          <t>Clients needed to reach salary target</t>
        </is>
      </c>
      <c r="B26">
        <f>ROUNDUP((B16+B23)/B20,0)</f>
        <v/>
      </c>
    </row>
    <row r="27">
      <c r="A27" t="inlineStr">
        <is>
          <t>Max clients before needing to hire (40hr/wk limit)</t>
        </is>
      </c>
      <c r="B27">
        <f>INT(160/B21)</f>
        <v/>
      </c>
    </row>
    <row r="28">
      <c r="A28" t="inlineStr">
        <is>
          <t>Monthly revenue at full capacity</t>
        </is>
      </c>
      <c r="B28">
        <f>INT(160/B21)*B20</f>
        <v/>
      </c>
    </row>
    <row r="29">
      <c r="A29" t="inlineStr">
        <is>
          <t>Annual revenue at full capacity</t>
        </is>
      </c>
      <c r="B29">
        <f>INT(160/B21)*B20*12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2026-06-21T14:35:08Z</dcterms:created>
  <dcterms:modified xmlns:dcterms="http://purl.org/dc/terms/" xmlns:xsi="http://www.w3.org/2001/XMLSchema-instance" xsi:type="dcterms:W3CDTF">2026-06-21T14:35:08Z</dcterms:modified>
</cp:coreProperties>
</file>