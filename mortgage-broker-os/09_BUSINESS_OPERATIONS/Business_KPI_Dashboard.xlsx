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Income Proj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color rgb="00FFFFFF"/>
      <sz val="11"/>
    </font>
    <font>
      <color rgb="002C3E50"/>
      <sz val="10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E94560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4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5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6" customHeight="1">
      <c r="A1" s="1" t="inlineStr">
        <is>
          <t>MORTGAGE BUSINESS KPI DASHBOARD</t>
        </is>
      </c>
    </row>
    <row r="3" ht="28" customHeight="1">
      <c r="A3" s="2" t="inlineStr">
        <is>
          <t>PRODUCTION</t>
        </is>
      </c>
    </row>
    <row r="4">
      <c r="A4" s="3" t="inlineStr">
        <is>
          <t>KPI</t>
        </is>
      </c>
      <c r="B4" s="3" t="inlineStr">
        <is>
          <t>Jan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Apr</t>
        </is>
      </c>
      <c r="F4" s="3" t="inlineStr">
        <is>
          <t>May</t>
        </is>
      </c>
      <c r="G4" s="3" t="inlineStr">
        <is>
          <t>Jun</t>
        </is>
      </c>
      <c r="H4" s="3" t="inlineStr">
        <is>
          <t>Target</t>
        </is>
      </c>
    </row>
    <row r="5">
      <c r="A5" s="4" t="inlineStr">
        <is>
          <t>Loans Closed (MTD)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6" t="inlineStr">
        <is>
          <t>Loans Closed (YTD)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>
      <c r="A7" s="4" t="inlineStr">
        <is>
          <t>Total Volume Closed (YTD)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6" t="inlineStr">
        <is>
          <t>Average Loan Size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>
      <c r="A9" s="4" t="inlineStr">
        <is>
          <t>Applications Submitted (MTD)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6" t="inlineStr">
        <is>
          <t>Pull-Through Rate (%)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2" ht="28" customHeight="1">
      <c r="A12" s="2" t="inlineStr">
        <is>
          <t>PIPELINE</t>
        </is>
      </c>
    </row>
    <row r="13">
      <c r="A13" s="3" t="inlineStr">
        <is>
          <t>KPI</t>
        </is>
      </c>
      <c r="B13" s="3" t="inlineStr">
        <is>
          <t>Jan</t>
        </is>
      </c>
      <c r="C13" s="3" t="inlineStr">
        <is>
          <t>Feb</t>
        </is>
      </c>
      <c r="D13" s="3" t="inlineStr">
        <is>
          <t>Mar</t>
        </is>
      </c>
      <c r="E13" s="3" t="inlineStr">
        <is>
          <t>Apr</t>
        </is>
      </c>
      <c r="F13" s="3" t="inlineStr">
        <is>
          <t>May</t>
        </is>
      </c>
      <c r="G13" s="3" t="inlineStr">
        <is>
          <t>Jun</t>
        </is>
      </c>
      <c r="H13" s="3" t="inlineStr">
        <is>
          <t>Target</t>
        </is>
      </c>
    </row>
    <row r="14">
      <c r="A14" s="6" t="inlineStr">
        <is>
          <t>Active Applications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>
      <c r="A15" s="4" t="inlineStr">
        <is>
          <t>Total Pipeline Volume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6" t="inlineStr">
        <is>
          <t>Avg. Days in Pipeline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  <row r="17">
      <c r="A17" s="4" t="inlineStr">
        <is>
          <t>Loans in Underwriting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6" t="inlineStr">
        <is>
          <t>Loans Clear to Close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</row>
    <row r="19">
      <c r="A19" s="4" t="inlineStr">
        <is>
          <t>Loans Closing This Week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1" ht="28" customHeight="1">
      <c r="A21" s="2" t="inlineStr">
        <is>
          <t>REVENUE</t>
        </is>
      </c>
    </row>
    <row r="22">
      <c r="A22" s="3" t="inlineStr">
        <is>
          <t>KPI</t>
        </is>
      </c>
      <c r="B22" s="3" t="inlineStr">
        <is>
          <t>Jan</t>
        </is>
      </c>
      <c r="C22" s="3" t="inlineStr">
        <is>
          <t>Feb</t>
        </is>
      </c>
      <c r="D22" s="3" t="inlineStr">
        <is>
          <t>Mar</t>
        </is>
      </c>
      <c r="E22" s="3" t="inlineStr">
        <is>
          <t>Apr</t>
        </is>
      </c>
      <c r="F22" s="3" t="inlineStr">
        <is>
          <t>May</t>
        </is>
      </c>
      <c r="G22" s="3" t="inlineStr">
        <is>
          <t>Jun</t>
        </is>
      </c>
      <c r="H22" s="3" t="inlineStr">
        <is>
          <t>Target</t>
        </is>
      </c>
    </row>
    <row r="23">
      <c r="A23" s="4" t="inlineStr">
        <is>
          <t>Commission Income (MTD)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6" t="inlineStr">
        <is>
          <t>Commission Income (YTD)</t>
        </is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</row>
    <row r="25">
      <c r="A25" s="4" t="inlineStr">
        <is>
          <t>Avg. Commission per Loan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>
      <c r="A26" s="6" t="inlineStr">
        <is>
          <t>Income vs. Goal (%)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</row>
    <row r="27">
      <c r="A27" s="4" t="inlineStr">
        <is>
          <t>Projected Year-End Income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>
      <c r="A28" s="6" t="inlineStr">
        <is>
          <t>Monthly Run Rate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</row>
    <row r="30" ht="28" customHeight="1">
      <c r="A30" s="2" t="inlineStr">
        <is>
          <t>LEADS</t>
        </is>
      </c>
    </row>
    <row r="31">
      <c r="A31" s="3" t="inlineStr">
        <is>
          <t>KPI</t>
        </is>
      </c>
      <c r="B31" s="3" t="inlineStr">
        <is>
          <t>Jan</t>
        </is>
      </c>
      <c r="C31" s="3" t="inlineStr">
        <is>
          <t>Feb</t>
        </is>
      </c>
      <c r="D31" s="3" t="inlineStr">
        <is>
          <t>Mar</t>
        </is>
      </c>
      <c r="E31" s="3" t="inlineStr">
        <is>
          <t>Apr</t>
        </is>
      </c>
      <c r="F31" s="3" t="inlineStr">
        <is>
          <t>May</t>
        </is>
      </c>
      <c r="G31" s="3" t="inlineStr">
        <is>
          <t>Jun</t>
        </is>
      </c>
      <c r="H31" s="3" t="inlineStr">
        <is>
          <t>Target</t>
        </is>
      </c>
    </row>
    <row r="32">
      <c r="A32" s="6" t="inlineStr">
        <is>
          <t>New Leads (MTD)</t>
        </is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</row>
    <row r="33">
      <c r="A33" s="4" t="inlineStr">
        <is>
          <t>Leads from Realtors</t>
        </is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>
      <c r="A34" s="6" t="inlineStr">
        <is>
          <t>Leads from Past Clients</t>
        </is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</row>
    <row r="35">
      <c r="A35" s="4" t="inlineStr">
        <is>
          <t>Leads from Social Media</t>
        </is>
      </c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>
      <c r="A36" s="6" t="inlineStr">
        <is>
          <t>Lead-to-App Conversion (%)</t>
        </is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</row>
    <row r="37">
      <c r="A37" s="4" t="inlineStr">
        <is>
          <t>Cost per Lead</t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</sheetData>
  <mergeCells count="5">
    <mergeCell ref="A12:H12"/>
    <mergeCell ref="A3:H3"/>
    <mergeCell ref="A21:H21"/>
    <mergeCell ref="A30:H3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2" customWidth="1" min="4" max="4"/>
    <col width="16" customWidth="1" min="5" max="5"/>
    <col width="16" customWidth="1" min="6" max="6"/>
  </cols>
  <sheetData>
    <row r="1">
      <c r="A1" s="8" t="inlineStr">
        <is>
          <t>INCOME PROJECTION TOOL</t>
        </is>
      </c>
    </row>
    <row r="2">
      <c r="A2" s="9" t="inlineStr">
        <is>
          <t>Scenario</t>
        </is>
      </c>
      <c r="B2" s="9" t="inlineStr">
        <is>
          <t>Loans/Month</t>
        </is>
      </c>
      <c r="C2" s="9" t="inlineStr">
        <is>
          <t>Avg Loan Size</t>
        </is>
      </c>
      <c r="D2" s="9" t="inlineStr">
        <is>
          <t>Avg BPS</t>
        </is>
      </c>
      <c r="E2" s="9" t="inlineStr">
        <is>
          <t>Avg Income/Loan</t>
        </is>
      </c>
      <c r="F2" s="9" t="inlineStr">
        <is>
          <t>Monthly Income</t>
        </is>
      </c>
    </row>
    <row r="3">
      <c r="A3" s="4" t="inlineStr">
        <is>
          <t>Conservative</t>
        </is>
      </c>
      <c r="B3" s="4" t="inlineStr">
        <is>
          <t>3</t>
        </is>
      </c>
      <c r="C3" s="4" t="inlineStr">
        <is>
          <t>$350,000</t>
        </is>
      </c>
      <c r="D3" s="4" t="inlineStr">
        <is>
          <t>100</t>
        </is>
      </c>
      <c r="E3" s="4" t="inlineStr">
        <is>
          <t>$3,500</t>
        </is>
      </c>
      <c r="F3" s="4">
        <f>B3*E3</f>
        <v/>
      </c>
    </row>
    <row r="4">
      <c r="A4" s="6" t="inlineStr">
        <is>
          <t>Base Case</t>
        </is>
      </c>
      <c r="B4" s="6" t="inlineStr">
        <is>
          <t>6</t>
        </is>
      </c>
      <c r="C4" s="6" t="inlineStr">
        <is>
          <t>$400,000</t>
        </is>
      </c>
      <c r="D4" s="6" t="inlineStr">
        <is>
          <t>100</t>
        </is>
      </c>
      <c r="E4" s="6" t="inlineStr">
        <is>
          <t>$4,000</t>
        </is>
      </c>
      <c r="F4" s="6">
        <f>B4*E4</f>
        <v/>
      </c>
    </row>
    <row r="5">
      <c r="A5" s="4" t="inlineStr">
        <is>
          <t>Optimistic</t>
        </is>
      </c>
      <c r="B5" s="4" t="inlineStr">
        <is>
          <t>10</t>
        </is>
      </c>
      <c r="C5" s="4" t="inlineStr">
        <is>
          <t>$450,000</t>
        </is>
      </c>
      <c r="D5" s="4" t="inlineStr">
        <is>
          <t>100</t>
        </is>
      </c>
      <c r="E5" s="4" t="inlineStr">
        <is>
          <t>$4,500</t>
        </is>
      </c>
      <c r="F5" s="4">
        <f>B5*E5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2026-06-21T10:32:22Z</dcterms:created>
  <dcterms:modified xmlns:dcterms="http://purl.org/dc/terms/" xmlns:xsi="http://www.w3.org/2001/XMLSchema-instance" xsi:type="dcterms:W3CDTF">2026-06-21T10:32:22Z</dcterms:modified>
</cp:coreProperties>
</file>