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8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Client CRM" sheetId="2" state="visible" r:id="rId2"/>
    <sheet xmlns:r="http://schemas.openxmlformats.org/officeDocument/2006/relationships" name="Lead Pipeline" sheetId="3" state="visible" r:id="rId3"/>
    <sheet xmlns:r="http://schemas.openxmlformats.org/officeDocument/2006/relationships" name="Pricing Calculator" sheetId="4" state="visible" r:id="rId4"/>
    <sheet xmlns:r="http://schemas.openxmlformats.org/officeDocument/2006/relationships" name="Monthly Close" sheetId="5" state="visible" r:id="rId5"/>
    <sheet xmlns:r="http://schemas.openxmlformats.org/officeDocument/2006/relationships" name="Invoice Tracker" sheetId="6" state="visible" r:id="rId6"/>
    <sheet xmlns:r="http://schemas.openxmlformats.org/officeDocument/2006/relationships" name="Tax Documents" sheetId="7" state="visible" r:id="rId7"/>
    <sheet xmlns:r="http://schemas.openxmlformats.org/officeDocument/2006/relationships" name="Capacity Planner" sheetId="8" state="visible" r:id="rId8"/>
    <sheet xmlns:r="http://schemas.openxmlformats.org/officeDocument/2006/relationships" name="Dashboard" sheetId="9" state="visible" r:id="rId9"/>
    <sheet xmlns:r="http://schemas.openxmlformats.org/officeDocument/2006/relationships" name="Instruc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"/>
  </numFmts>
  <fonts count="25">
    <font>
      <name val="Calibri"/>
      <family val="2"/>
      <color theme="1"/>
      <sz val="11"/>
      <scheme val="minor"/>
    </font>
    <font>
      <name val="Calibri"/>
      <b val="1"/>
      <color rgb="FF0F766E"/>
      <sz val="18"/>
    </font>
    <font>
      <name val="Calibri"/>
      <b val="1"/>
      <color rgb="FF0F172A"/>
      <sz val="13"/>
    </font>
    <font>
      <name val="Calibri"/>
      <i val="1"/>
      <color rgb="FF64748B"/>
      <sz val="8"/>
    </font>
    <font>
      <name val="Calibri"/>
      <b val="1"/>
      <color rgb="FF0F766E"/>
      <sz val="8.5"/>
    </font>
    <font>
      <name val="Calibri"/>
      <color rgb="FF0F172A"/>
      <sz val="9"/>
    </font>
    <font>
      <name val="Calibri"/>
      <b val="1"/>
      <color rgb="FF0F172A"/>
      <sz val="9"/>
    </font>
    <font>
      <name val="Calibri"/>
      <b val="1"/>
      <color rgb="FFFFFFFF"/>
      <sz val="8"/>
    </font>
    <font>
      <name val="Calibri"/>
      <color rgb="FF0F172A"/>
      <sz val="8.5"/>
    </font>
    <font>
      <name val="Calibri"/>
      <b val="1"/>
      <color rgb="FF0F766E"/>
      <sz val="9"/>
    </font>
    <font>
      <name val="Calibri"/>
      <b val="1"/>
      <color rgb="FF0F766E"/>
      <sz val="11"/>
    </font>
    <font>
      <name val="Calibri"/>
      <b val="1"/>
      <color rgb="FFD97706"/>
      <sz val="8.5"/>
    </font>
    <font>
      <name val="Calibri"/>
      <b val="1"/>
      <color rgb="FFD97706"/>
      <sz val="11"/>
    </font>
    <font>
      <name val="Calibri"/>
      <b val="1"/>
      <color rgb="FF0F172A"/>
      <sz val="10"/>
    </font>
    <font>
      <name val="Calibri"/>
      <color rgb="FF0F766E"/>
      <sz val="10"/>
    </font>
    <font>
      <name val="Calibri"/>
      <b val="1"/>
      <color rgb="FFFFFFFF"/>
      <sz val="10"/>
    </font>
    <font>
      <name val="Calibri"/>
      <b val="1"/>
      <color rgb="FFFFFFFF"/>
      <sz val="14"/>
    </font>
    <font>
      <name val="Calibri"/>
      <b val="1"/>
      <color rgb="FFFFFFFF"/>
      <sz val="9"/>
    </font>
    <font>
      <name val="Calibri"/>
      <b val="1"/>
      <color rgb="FFFFFFFF"/>
      <sz val="12"/>
    </font>
    <font>
      <name val="Calibri"/>
      <b val="1"/>
      <color rgb="FF0F766E"/>
      <sz val="10"/>
    </font>
    <font>
      <name val="Calibri"/>
      <b val="1"/>
      <color rgb="FFFFFFFF"/>
      <sz val="20"/>
    </font>
    <font>
      <name val="Calibri"/>
      <i val="1"/>
      <color rgb="FF64748B"/>
      <sz val="8.5"/>
    </font>
    <font>
      <name val="Calibri"/>
      <b val="1"/>
      <color rgb="FF64748B"/>
      <sz val="7.5"/>
    </font>
    <font>
      <name val="Calibri"/>
      <b val="1"/>
      <color rgb="FF0F172A"/>
      <sz val="18"/>
    </font>
    <font>
      <name val="Calibri"/>
      <i val="1"/>
      <color rgb="FF64748B"/>
      <sz val="7.5"/>
    </font>
  </fonts>
  <fills count="9">
    <fill>
      <patternFill/>
    </fill>
    <fill>
      <patternFill patternType="gray125"/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FEF3C7"/>
      </patternFill>
    </fill>
    <fill>
      <patternFill patternType="solid">
        <fgColor rgb="FFFFFFFF"/>
      </patternFill>
    </fill>
    <fill>
      <patternFill patternType="solid">
        <fgColor rgb="FFCCFBF1"/>
      </patternFill>
    </fill>
    <fill>
      <patternFill patternType="solid">
        <fgColor rgb="FFD97706"/>
      </patternFill>
    </fill>
    <fill>
      <patternFill patternType="solid">
        <fgColor rgb="FF0F172A"/>
      </patternFill>
    </fill>
  </fills>
  <borders count="20">
    <border>
      <left/>
      <right/>
      <top/>
      <bottom/>
      <diagonal/>
    </border>
    <border>
      <bottom style="thin">
        <color rgb="FF0F766E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/>
      <right/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D97706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0F766E"/>
      </left>
      <right style="thin">
        <color rgb="FF0F766E"/>
      </right>
      <top style="thin">
        <color rgb="FF0F766E"/>
      </top>
      <bottom style="thin">
        <color rgb="FF0F766E"/>
      </bottom>
    </border>
    <border>
      <left style="medium">
        <color rgb="FF0F766E"/>
      </left>
      <right style="thin">
        <color rgb="FF0F766E"/>
      </right>
      <top style="thin">
        <color rgb="FF0F766E"/>
      </top>
      <bottom style="thin">
        <color rgb="FF0F766E"/>
      </bottom>
    </border>
    <border>
      <left style="medium">
        <color rgb="FF0F766E"/>
      </left>
      <right style="thin">
        <color rgb="FFE2E8F0"/>
      </right>
      <top style="thin">
        <color rgb="FFE2E8F0"/>
      </top>
      <bottom style="thin">
        <color rgb="FFE2E8F0"/>
      </bottom>
    </border>
    <border>
      <left/>
      <right/>
      <top style="thin">
        <color rgb="FF0F766E"/>
      </top>
      <bottom/>
      <diagonal/>
    </border>
    <border>
      <left/>
      <right style="thin">
        <color rgb="FF0F766E"/>
      </right>
      <top style="thin">
        <color rgb="FF0F766E"/>
      </top>
      <bottom/>
      <diagonal/>
    </border>
    <border>
      <left/>
      <right/>
      <top style="thin">
        <color rgb="FF0F766E"/>
      </top>
      <bottom style="thin">
        <color rgb="FF0F766E"/>
      </bottom>
      <diagonal/>
    </border>
    <border>
      <left/>
      <right style="thin">
        <color rgb="FF0F766E"/>
      </right>
      <top style="thin">
        <color rgb="FF0F766E"/>
      </top>
      <bottom style="thin">
        <color rgb="FF0F766E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left" vertical="bottom"/>
    </xf>
    <xf numFmtId="0" fontId="2" fillId="0" borderId="0" applyAlignment="1" pivotButton="0" quotePrefix="0" xfId="0">
      <alignment horizontal="left" vertical="bottom"/>
    </xf>
    <xf numFmtId="0" fontId="3" fillId="0" borderId="0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3" borderId="2" applyAlignment="1" pivotButton="0" quotePrefix="0" xfId="0">
      <alignment horizontal="left" vertical="center" indent="1"/>
    </xf>
    <xf numFmtId="0" fontId="0" fillId="0" borderId="5" pivotButton="0" quotePrefix="0" xfId="0"/>
    <xf numFmtId="0" fontId="0" fillId="0" borderId="6" pivotButton="0" quotePrefix="0" xfId="0"/>
    <xf numFmtId="0" fontId="6" fillId="4" borderId="7" applyAlignment="1" pivotButton="0" quotePrefix="0" xfId="0">
      <alignment horizontal="left" vertical="center" indent="1"/>
    </xf>
    <xf numFmtId="0" fontId="7" fillId="2" borderId="8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/>
    </xf>
    <xf numFmtId="0" fontId="8" fillId="5" borderId="2" applyAlignment="1" pivotButton="0" quotePrefix="0" xfId="0">
      <alignment horizontal="center" vertical="center"/>
    </xf>
    <xf numFmtId="164" fontId="8" fillId="5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left" vertical="center"/>
    </xf>
    <xf numFmtId="0" fontId="8" fillId="3" borderId="2" applyAlignment="1" pivotButton="0" quotePrefix="0" xfId="0">
      <alignment horizontal="center" vertical="center"/>
    </xf>
    <xf numFmtId="164" fontId="8" fillId="3" borderId="2" applyAlignment="1" pivotButton="0" quotePrefix="0" xfId="0">
      <alignment horizontal="center" vertical="center"/>
    </xf>
    <xf numFmtId="0" fontId="9" fillId="6" borderId="8" applyAlignment="1" pivotButton="0" quotePrefix="0" xfId="0">
      <alignment horizontal="right" vertical="center"/>
    </xf>
    <xf numFmtId="164" fontId="10" fillId="6" borderId="9" applyAlignment="1" pivotButton="0" quotePrefix="0" xfId="0">
      <alignment horizontal="center" vertical="center"/>
    </xf>
    <xf numFmtId="0" fontId="4" fillId="6" borderId="2" applyAlignment="1" pivotButton="0" quotePrefix="0" xfId="0">
      <alignment horizontal="right" vertical="center"/>
    </xf>
    <xf numFmtId="164" fontId="10" fillId="6" borderId="10" applyAlignment="1" pivotButton="0" quotePrefix="0" xfId="0">
      <alignment horizontal="center" vertical="center"/>
    </xf>
    <xf numFmtId="0" fontId="11" fillId="4" borderId="2" applyAlignment="1" pivotButton="0" quotePrefix="0" xfId="0">
      <alignment horizontal="right" vertical="center"/>
    </xf>
    <xf numFmtId="1" fontId="12" fillId="4" borderId="7" applyAlignment="1" pivotButton="0" quotePrefix="0" xfId="0">
      <alignment horizontal="center" vertical="center"/>
    </xf>
    <xf numFmtId="0" fontId="13" fillId="4" borderId="7" applyAlignment="1" pivotButton="0" quotePrefix="0" xfId="0">
      <alignment horizontal="center" vertical="center"/>
    </xf>
    <xf numFmtId="164" fontId="14" fillId="6" borderId="2" applyAlignment="1" pivotButton="0" quotePrefix="0" xfId="0">
      <alignment horizontal="center" vertical="center"/>
    </xf>
    <xf numFmtId="0" fontId="15" fillId="2" borderId="8" applyAlignment="1" pivotButton="0" quotePrefix="0" xfId="0">
      <alignment horizontal="right" vertical="center"/>
    </xf>
    <xf numFmtId="164" fontId="16" fillId="2" borderId="8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17" fillId="7" borderId="15" applyAlignment="1" pivotButton="0" quotePrefix="0" xfId="0">
      <alignment horizontal="right" vertical="center"/>
    </xf>
    <xf numFmtId="164" fontId="18" fillId="7" borderId="15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164" fontId="12" fillId="4" borderId="7" applyAlignment="1" pivotButton="0" quotePrefix="0" xfId="0">
      <alignment horizontal="center" vertical="center"/>
    </xf>
    <xf numFmtId="165" fontId="19" fillId="6" borderId="10" applyAlignment="1" pivotButton="0" quotePrefix="0" xfId="0">
      <alignment horizontal="center" vertical="center"/>
    </xf>
    <xf numFmtId="165" fontId="8" fillId="5" borderId="2" applyAlignment="1" pivotButton="0" quotePrefix="0" xfId="0">
      <alignment horizontal="center" vertical="center"/>
    </xf>
    <xf numFmtId="165" fontId="8" fillId="3" borderId="2" applyAlignment="1" pivotButton="0" quotePrefix="0" xfId="0">
      <alignment horizontal="center" vertical="center"/>
    </xf>
    <xf numFmtId="165" fontId="10" fillId="6" borderId="10" applyAlignment="1" pivotButton="0" quotePrefix="0" xfId="0">
      <alignment horizontal="center" vertical="center"/>
    </xf>
    <xf numFmtId="0" fontId="20" fillId="8" borderId="0" applyAlignment="1" pivotButton="0" quotePrefix="0" xfId="0">
      <alignment horizontal="left" vertical="center" indent="2"/>
    </xf>
    <xf numFmtId="0" fontId="21" fillId="8" borderId="0" applyAlignment="1" pivotButton="0" quotePrefix="0" xfId="0">
      <alignment horizontal="left" vertical="center" indent="2"/>
    </xf>
    <xf numFmtId="0" fontId="22" fillId="5" borderId="2" applyAlignment="1" pivotButton="0" quotePrefix="0" xfId="0">
      <alignment horizontal="left" vertical="bottom" indent="1"/>
    </xf>
    <xf numFmtId="0" fontId="23" fillId="5" borderId="10" applyAlignment="1" pivotButton="0" quotePrefix="0" xfId="0">
      <alignment horizontal="left" vertical="center" indent="1"/>
    </xf>
    <xf numFmtId="164" fontId="23" fillId="5" borderId="10" applyAlignment="1" pivotButton="0" quotePrefix="0" xfId="0">
      <alignment horizontal="left" vertical="center" indent="1"/>
    </xf>
    <xf numFmtId="164" fontId="23" fillId="5" borderId="7" applyAlignment="1" pivotButton="0" quotePrefix="0" xfId="0">
      <alignment horizontal="left" vertical="center" indent="1"/>
    </xf>
    <xf numFmtId="0" fontId="23" fillId="5" borderId="7" applyAlignment="1" pivotButton="0" quotePrefix="0" xfId="0">
      <alignment horizontal="left" vertical="center" indent="1"/>
    </xf>
    <xf numFmtId="0" fontId="24" fillId="5" borderId="2" applyAlignment="1" pivotButton="0" quotePrefix="0" xfId="0">
      <alignment horizontal="left" vertical="top" indent="1"/>
    </xf>
    <xf numFmtId="0" fontId="0" fillId="2" borderId="2" pivotButton="0" quotePrefix="0" xfId="0"/>
    <xf numFmtId="0" fontId="0" fillId="7" borderId="2" pivotButton="0" quotePrefix="0" xfId="0"/>
    <xf numFmtId="0" fontId="9" fillId="6" borderId="8" applyAlignment="1" pivotButton="0" quotePrefix="0" xfId="0">
      <alignment horizontal="left" vertical="center" indent="1"/>
    </xf>
    <xf numFmtId="0" fontId="17" fillId="2" borderId="8" applyAlignment="1" pivotButton="0" quotePrefix="0" xfId="0">
      <alignment horizontal="left" vertical="center" indent="1"/>
    </xf>
    <xf numFmtId="0" fontId="5" fillId="3" borderId="2" applyAlignment="1" pivotButton="0" quotePrefix="0" xfId="0">
      <alignment horizontal="left" vertical="center" wrapText="1"/>
    </xf>
    <xf numFmtId="0" fontId="5" fillId="4" borderId="7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ont>
        <name val="Calibri"/>
        <b val="1"/>
        <color rgb="000F766E"/>
        <sz val="8.5"/>
      </font>
      <fill>
        <patternFill patternType="solid">
          <fgColor rgb="00CCFBF1"/>
        </patternFill>
      </fill>
    </dxf>
    <dxf>
      <font>
        <name val="Calibri"/>
        <b val="1"/>
        <color rgb="00EF4444"/>
        <sz val="8.5"/>
      </font>
      <fill>
        <patternFill patternType="solid">
          <fgColor rgb="FFFEE2E2"/>
        </patternFill>
      </fill>
    </dxf>
    <dxf>
      <font>
        <name val="Calibri"/>
        <color rgb="00EF4444"/>
        <sz val="8.5"/>
      </font>
      <fill>
        <patternFill patternType="solid">
          <fgColor rgb="FFFEE2E2"/>
        </patternFill>
      </fill>
    </dxf>
    <dxf>
      <font>
        <name val="Calibri"/>
        <color rgb="0064748B"/>
        <sz val="8.5"/>
      </font>
      <fill>
        <patternFill patternType="solid">
          <fgColor rgb="00F8FAF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766E"/>
    <outlinePr summaryBelow="1" summaryRight="1"/>
    <pageSetUpPr/>
  </sheetPr>
  <dimension ref="A2:R25"/>
  <sheetViews>
    <sheetView showGridLines="0" zoomScale="95" workbookViewId="0">
      <selection activeCell="A1" sqref="A1"/>
    </sheetView>
  </sheetViews>
  <sheetFormatPr baseColWidth="8" defaultRowHeight="15"/>
  <cols>
    <col width="1.5" customWidth="1" min="1" max="1"/>
    <col width="18" customWidth="1" min="2" max="2"/>
    <col width="18" customWidth="1" min="3" max="3"/>
    <col width="12" customWidth="1" min="4" max="4"/>
    <col width="14" customWidth="1" min="5" max="5"/>
    <col width="14" customWidth="1" min="6" max="6"/>
  </cols>
  <sheetData>
    <row r="1" ht="10" customHeight="1"/>
    <row r="2" ht="22" customHeight="1">
      <c r="A2" s="1" t="inlineStr"/>
      <c r="B2" s="2" t="inlineStr">
        <is>
          <t>01</t>
        </is>
      </c>
      <c r="C2" s="3" t="inlineStr">
        <is>
          <t>— SETUP</t>
        </is>
      </c>
    </row>
    <row r="3" ht="16" customHeight="1">
      <c r="B3" s="4" t="inlineStr">
        <is>
          <t>Fill in the amber cells — do not edit white formula cells</t>
        </is>
      </c>
    </row>
    <row r="4" ht="3" customHeight="1">
      <c r="A4" s="1" t="inlineStr"/>
    </row>
    <row r="5" ht="8" customHeight="1"/>
    <row r="6" ht="4" customHeight="1"/>
    <row r="7" ht="18" customHeight="1">
      <c r="B7" s="5" t="inlineStr">
        <is>
          <t>01  —  PRACTICE INFORMATION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 ht="6" customHeight="1"/>
    <row r="9" ht="20" customHeight="1">
      <c r="B9" s="7" t="inlineStr">
        <is>
          <t>Practice Name</t>
        </is>
      </c>
      <c r="C9" s="8" t="n"/>
      <c r="D9" s="8" t="n"/>
      <c r="E9" s="9" t="n"/>
      <c r="F9" s="10" t="inlineStr">
        <is>
          <t>[Your Practice Name]</t>
        </is>
      </c>
      <c r="G9" s="8" t="n"/>
      <c r="H9" s="8" t="n"/>
      <c r="I9" s="9" t="n"/>
    </row>
    <row r="10" ht="20" customHeight="1">
      <c r="B10" s="7" t="inlineStr">
        <is>
          <t>Tagline / Descriptor</t>
        </is>
      </c>
      <c r="C10" s="8" t="n"/>
      <c r="D10" s="8" t="n"/>
      <c r="E10" s="9" t="n"/>
      <c r="F10" s="10" t="inlineStr">
        <is>
          <t>[e.g., Bookkeeping for service businesses]</t>
        </is>
      </c>
      <c r="G10" s="8" t="n"/>
      <c r="H10" s="8" t="n"/>
      <c r="I10" s="9" t="n"/>
    </row>
    <row r="11" ht="20" customHeight="1">
      <c r="B11" s="7" t="inlineStr">
        <is>
          <t>Owner / Bookkeeper Name</t>
        </is>
      </c>
      <c r="C11" s="8" t="n"/>
      <c r="D11" s="8" t="n"/>
      <c r="E11" s="9" t="n"/>
      <c r="F11" s="10" t="inlineStr">
        <is>
          <t>[Your Name]</t>
        </is>
      </c>
      <c r="G11" s="8" t="n"/>
      <c r="H11" s="8" t="n"/>
      <c r="I11" s="9" t="n"/>
    </row>
    <row r="12" ht="20" customHeight="1">
      <c r="B12" s="7" t="inlineStr">
        <is>
          <t>Email Address</t>
        </is>
      </c>
      <c r="C12" s="8" t="n"/>
      <c r="D12" s="8" t="n"/>
      <c r="E12" s="9" t="n"/>
      <c r="F12" s="10" t="inlineStr">
        <is>
          <t>[your@email.com]</t>
        </is>
      </c>
      <c r="G12" s="8" t="n"/>
      <c r="H12" s="8" t="n"/>
      <c r="I12" s="9" t="n"/>
    </row>
    <row r="13" ht="20" customHeight="1">
      <c r="B13" s="7" t="inlineStr">
        <is>
          <t>Phone Number</t>
        </is>
      </c>
      <c r="C13" s="8" t="n"/>
      <c r="D13" s="8" t="n"/>
      <c r="E13" s="9" t="n"/>
      <c r="F13" s="10" t="inlineStr">
        <is>
          <t>[Your Phone]</t>
        </is>
      </c>
      <c r="G13" s="8" t="n"/>
      <c r="H13" s="8" t="n"/>
      <c r="I13" s="9" t="n"/>
    </row>
    <row r="14" ht="20" customHeight="1">
      <c r="B14" s="7" t="inlineStr">
        <is>
          <t>Website / Portal URL</t>
        </is>
      </c>
      <c r="C14" s="8" t="n"/>
      <c r="D14" s="8" t="n"/>
      <c r="E14" s="9" t="n"/>
      <c r="F14" s="10" t="inlineStr">
        <is>
          <t>[https://yoursite.com]</t>
        </is>
      </c>
      <c r="G14" s="8" t="n"/>
      <c r="H14" s="8" t="n"/>
      <c r="I14" s="9" t="n"/>
    </row>
    <row r="15" ht="20" customHeight="1">
      <c r="B15" s="7" t="inlineStr">
        <is>
          <t>Bookkeeping Software Used</t>
        </is>
      </c>
      <c r="C15" s="8" t="n"/>
      <c r="D15" s="8" t="n"/>
      <c r="E15" s="9" t="n"/>
      <c r="F15" s="10" t="inlineStr">
        <is>
          <t>[QuickBooks Online / Xero / Wave / Other]</t>
        </is>
      </c>
      <c r="G15" s="8" t="n"/>
      <c r="H15" s="8" t="n"/>
      <c r="I15" s="9" t="n"/>
    </row>
    <row r="16" ht="20" customHeight="1">
      <c r="B16" s="7" t="inlineStr">
        <is>
          <t>Currency Symbol</t>
        </is>
      </c>
      <c r="C16" s="8" t="n"/>
      <c r="D16" s="8" t="n"/>
      <c r="E16" s="9" t="n"/>
      <c r="F16" s="10" t="inlineStr">
        <is>
          <t>€</t>
        </is>
      </c>
      <c r="G16" s="8" t="n"/>
      <c r="H16" s="8" t="n"/>
      <c r="I16" s="9" t="n"/>
    </row>
    <row r="17" ht="20" customHeight="1">
      <c r="B17" s="7" t="inlineStr">
        <is>
          <t>Monthly Close Day (of following month)</t>
        </is>
      </c>
      <c r="C17" s="8" t="n"/>
      <c r="D17" s="8" t="n"/>
      <c r="E17" s="9" t="n"/>
      <c r="F17" s="10" t="inlineStr">
        <is>
          <t>15</t>
        </is>
      </c>
      <c r="G17" s="8" t="n"/>
      <c r="H17" s="8" t="n"/>
      <c r="I17" s="9" t="n"/>
    </row>
    <row r="18" ht="20" customHeight="1">
      <c r="B18" s="7" t="inlineStr">
        <is>
          <t>Fiscal Year End Month</t>
        </is>
      </c>
      <c r="C18" s="8" t="n"/>
      <c r="D18" s="8" t="n"/>
      <c r="E18" s="9" t="n"/>
      <c r="F18" s="10" t="inlineStr">
        <is>
          <t>December</t>
        </is>
      </c>
      <c r="G18" s="8" t="n"/>
      <c r="H18" s="8" t="n"/>
      <c r="I18" s="9" t="n"/>
    </row>
    <row r="19" ht="4" customHeight="1"/>
    <row r="20" ht="18" customHeight="1">
      <c r="B20" s="5" t="inlineStr">
        <is>
          <t>02  —  SERVICE TIERS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</row>
    <row r="21" ht="6" customHeight="1"/>
    <row r="22" ht="20" customHeight="1">
      <c r="B22" s="11" t="inlineStr">
        <is>
          <t>Tier Name</t>
        </is>
      </c>
      <c r="C22" s="11" t="inlineStr">
        <is>
          <t>Monthly Transactions</t>
        </is>
      </c>
      <c r="D22" s="11" t="inlineStr">
        <is>
          <t>Accounts</t>
        </is>
      </c>
      <c r="E22" s="11" t="inlineStr">
        <is>
          <t>Monthly Fee (€)</t>
        </is>
      </c>
      <c r="F22" s="11" t="inlineStr">
        <is>
          <t>Hourly Rate (€)</t>
        </is>
      </c>
    </row>
    <row r="23" ht="20" customHeight="1">
      <c r="B23" s="12" t="inlineStr">
        <is>
          <t>Essentials</t>
        </is>
      </c>
      <c r="C23" s="13" t="n">
        <v>100</v>
      </c>
      <c r="D23" s="13" t="n">
        <v>3</v>
      </c>
      <c r="E23" s="14" t="n">
        <v>650</v>
      </c>
      <c r="F23" s="14" t="n">
        <v>75</v>
      </c>
    </row>
    <row r="24" ht="20" customHeight="1">
      <c r="B24" s="15" t="inlineStr">
        <is>
          <t>Growth</t>
        </is>
      </c>
      <c r="C24" s="16" t="n">
        <v>300</v>
      </c>
      <c r="D24" s="16" t="n">
        <v>6</v>
      </c>
      <c r="E24" s="17" t="n">
        <v>1200</v>
      </c>
      <c r="F24" s="17" t="n">
        <v>85</v>
      </c>
    </row>
    <row r="25" ht="20" customHeight="1">
      <c r="B25" s="12" t="inlineStr">
        <is>
          <t>Advanced</t>
        </is>
      </c>
      <c r="C25" s="13" t="n">
        <v>600</v>
      </c>
      <c r="D25" s="13" t="n">
        <v>12</v>
      </c>
      <c r="E25" s="14" t="n">
        <v>2200</v>
      </c>
      <c r="F25" s="14" t="n">
        <v>100</v>
      </c>
    </row>
  </sheetData>
  <mergeCells count="26">
    <mergeCell ref="F13:I13"/>
    <mergeCell ref="B9:E9"/>
    <mergeCell ref="F9:I9"/>
    <mergeCell ref="B15:E15"/>
    <mergeCell ref="F14:I14"/>
    <mergeCell ref="F11:I11"/>
    <mergeCell ref="B16:E16"/>
    <mergeCell ref="F16:I16"/>
    <mergeCell ref="A2:A3"/>
    <mergeCell ref="F10:I10"/>
    <mergeCell ref="A4:R4"/>
    <mergeCell ref="B18:E18"/>
    <mergeCell ref="B20:P20"/>
    <mergeCell ref="B12:E12"/>
    <mergeCell ref="F12:I12"/>
    <mergeCell ref="C2:P2"/>
    <mergeCell ref="B11:E11"/>
    <mergeCell ref="F15:I15"/>
    <mergeCell ref="B14:E14"/>
    <mergeCell ref="F18:I18"/>
    <mergeCell ref="B7:P7"/>
    <mergeCell ref="B17:E17"/>
    <mergeCell ref="F17:I17"/>
    <mergeCell ref="B13:E13"/>
    <mergeCell ref="B3:P3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/>
  </sheetPr>
  <dimension ref="A2:R11"/>
  <sheetViews>
    <sheetView showGridLines="0" zoomScale="95" workbookViewId="0">
      <selection activeCell="A1" sqref="A1"/>
    </sheetView>
  </sheetViews>
  <sheetFormatPr baseColWidth="8" defaultRowHeight="15"/>
  <cols>
    <col width="1.5" customWidth="1" min="1" max="1"/>
    <col width="24" customWidth="1" min="2" max="2"/>
    <col width="14" customWidth="1" min="3" max="3"/>
    <col width="14" customWidth="1" min="4" max="4"/>
    <col width="14" customWidth="1" min="5" max="5"/>
    <col width="15" customWidth="1" min="6" max="6"/>
    <col width="10" customWidth="1" min="7" max="7"/>
    <col width="18" customWidth="1" min="8" max="8"/>
    <col width="22" customWidth="1" min="9" max="9"/>
    <col width="18" customWidth="1" min="10" max="10"/>
    <col width="12" customWidth="1" min="11" max="11"/>
    <col width="16" customWidth="1" min="12" max="12"/>
    <col width="24" customWidth="1" min="13" max="13"/>
  </cols>
  <sheetData>
    <row r="1" ht="10" customHeight="1"/>
    <row r="2" ht="22" customHeight="1">
      <c r="A2" s="1" t="inlineStr"/>
      <c r="B2" s="2" t="inlineStr">
        <is>
          <t>02</t>
        </is>
      </c>
      <c r="C2" s="3" t="inlineStr">
        <is>
          <t>— CLIENT CRM</t>
        </is>
      </c>
    </row>
    <row r="3" ht="16" customHeight="1">
      <c r="B3" s="4" t="inlineStr">
        <is>
          <t>Master record for all active and former clients</t>
        </is>
      </c>
    </row>
    <row r="4" ht="3" customHeight="1">
      <c r="A4" s="1" t="inlineStr"/>
    </row>
    <row r="5" ht="8" customHeight="1"/>
    <row r="6" ht="20" customHeight="1">
      <c r="B6" s="11" t="inlineStr">
        <is>
          <t>Client Name</t>
        </is>
      </c>
      <c r="C6" s="11" t="inlineStr">
        <is>
          <t>Status</t>
        </is>
      </c>
      <c r="D6" s="11" t="inlineStr">
        <is>
          <t>Entity Type</t>
        </is>
      </c>
      <c r="E6" s="11" t="inlineStr">
        <is>
          <t>Software</t>
        </is>
      </c>
      <c r="F6" s="11" t="inlineStr">
        <is>
          <t>Monthly Fee (€)</t>
        </is>
      </c>
      <c r="G6" s="11" t="inlineStr">
        <is>
          <t>Close Day</t>
        </is>
      </c>
      <c r="H6" s="11" t="inlineStr">
        <is>
          <t>Primary Contact</t>
        </is>
      </c>
      <c r="I6" s="11" t="inlineStr">
        <is>
          <t>Email</t>
        </is>
      </c>
      <c r="J6" s="11" t="inlineStr">
        <is>
          <t>Tax Preparer</t>
        </is>
      </c>
      <c r="K6" s="11" t="inlineStr">
        <is>
          <t>Start Date</t>
        </is>
      </c>
      <c r="L6" s="11" t="inlineStr">
        <is>
          <t>Service Package</t>
        </is>
      </c>
      <c r="M6" s="11" t="inlineStr">
        <is>
          <t>Notes</t>
        </is>
      </c>
    </row>
    <row r="7" ht="20" customHeight="1">
      <c r="B7" s="12" t="inlineStr">
        <is>
          <t>Harbor Design LLC</t>
        </is>
      </c>
      <c r="C7" s="12" t="inlineStr">
        <is>
          <t>Active</t>
        </is>
      </c>
      <c r="D7" s="12" t="inlineStr">
        <is>
          <t>LLC</t>
        </is>
      </c>
      <c r="E7" s="13" t="inlineStr">
        <is>
          <t>QuickBooks Online</t>
        </is>
      </c>
      <c r="F7" s="14" t="n">
        <v>850</v>
      </c>
      <c r="G7" s="13" t="n">
        <v>15</v>
      </c>
      <c r="H7" s="13" t="inlineStr">
        <is>
          <t>Alex Morgan</t>
        </is>
      </c>
      <c r="I7" s="13" t="inlineStr">
        <is>
          <t>alex@example.com</t>
        </is>
      </c>
      <c r="J7" s="13" t="inlineStr">
        <is>
          <t>[Tax Preparer]</t>
        </is>
      </c>
      <c r="K7" s="13" t="inlineStr">
        <is>
          <t>2025-01-01</t>
        </is>
      </c>
      <c r="L7" s="13" t="inlineStr">
        <is>
          <t>Growth</t>
        </is>
      </c>
      <c r="M7" s="13" t="inlineStr"/>
    </row>
    <row r="8" ht="20" customHeight="1">
      <c r="B8" s="15" t="inlineStr">
        <is>
          <t>Oak &amp; Pine Co.</t>
        </is>
      </c>
      <c r="C8" s="15" t="inlineStr">
        <is>
          <t>Active</t>
        </is>
      </c>
      <c r="D8" s="15" t="inlineStr">
        <is>
          <t>S-Corp</t>
        </is>
      </c>
      <c r="E8" s="16" t="inlineStr">
        <is>
          <t>Xero</t>
        </is>
      </c>
      <c r="F8" s="17" t="n">
        <v>1200</v>
      </c>
      <c r="G8" s="16" t="n">
        <v>15</v>
      </c>
      <c r="H8" s="16" t="inlineStr">
        <is>
          <t>Jamie Chen</t>
        </is>
      </c>
      <c r="I8" s="16" t="inlineStr">
        <is>
          <t>jamie@example.com</t>
        </is>
      </c>
      <c r="J8" s="16" t="inlineStr">
        <is>
          <t>[Tax Preparer]</t>
        </is>
      </c>
      <c r="K8" s="16" t="inlineStr">
        <is>
          <t>2025-03-01</t>
        </is>
      </c>
      <c r="L8" s="16" t="inlineStr">
        <is>
          <t>Advanced</t>
        </is>
      </c>
      <c r="M8" s="16" t="inlineStr"/>
    </row>
    <row r="9" ht="20" customHeight="1">
      <c r="B9" s="12" t="inlineStr">
        <is>
          <t>[Client Name]</t>
        </is>
      </c>
      <c r="C9" s="12" t="inlineStr">
        <is>
          <t>Active</t>
        </is>
      </c>
      <c r="D9" s="12" t="inlineStr">
        <is>
          <t>[Entity]</t>
        </is>
      </c>
      <c r="E9" s="13" t="inlineStr">
        <is>
          <t>[Software]</t>
        </is>
      </c>
      <c r="F9" s="14" t="n">
        <v>0</v>
      </c>
      <c r="G9" s="13" t="n">
        <v>15</v>
      </c>
      <c r="H9" s="13" t="inlineStr">
        <is>
          <t>[Contact]</t>
        </is>
      </c>
      <c r="I9" s="13" t="inlineStr">
        <is>
          <t>[Email]</t>
        </is>
      </c>
      <c r="J9" s="13" t="inlineStr">
        <is>
          <t>[Tax Preparer]</t>
        </is>
      </c>
      <c r="K9" s="13" t="inlineStr"/>
      <c r="L9" s="13" t="inlineStr">
        <is>
          <t>Essentials</t>
        </is>
      </c>
      <c r="M9" s="13" t="inlineStr"/>
    </row>
    <row r="11" ht="24" customHeight="1">
      <c r="B11" s="18" t="inlineStr">
        <is>
          <t>TOTAL MONTHLY RECURRING REVENUE</t>
        </is>
      </c>
      <c r="F11" s="19">
        <f>SUMIF(C7:C200,"Active",F7:F200)</f>
        <v/>
      </c>
    </row>
  </sheetData>
  <mergeCells count="5">
    <mergeCell ref="B3:P3"/>
    <mergeCell ref="C2:P2"/>
    <mergeCell ref="B11:E11"/>
    <mergeCell ref="A2:A3"/>
    <mergeCell ref="A4:R4"/>
  </mergeCells>
  <conditionalFormatting sqref="C7:C200">
    <cfRule type="cellIs" priority="1" operator="equal" dxfId="0">
      <formula>"Active"</formula>
    </cfRule>
    <cfRule type="cellIs" priority="2" operator="equal" dxfId="1">
      <formula>"Churned"</formula>
    </cfRule>
  </conditionalFormatting>
  <dataValidations count="2">
    <dataValidation sqref="C7:C200" showDropDown="0" showInputMessage="0" showErrorMessage="0" allowBlank="1" type="list">
      <formula1>"Active,On Hold,Churned,Prospect"</formula1>
    </dataValidation>
    <dataValidation sqref="L7:L200" showDropDown="0" showInputMessage="0" showErrorMessage="0" allowBlank="1" type="list">
      <formula1>"Essentials,Growth,Advanced"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766E"/>
    <outlinePr summaryBelow="1" summaryRight="1"/>
    <pageSetUpPr/>
  </sheetPr>
  <dimension ref="A2:R11"/>
  <sheetViews>
    <sheetView showGridLines="0" zoomScale="95" workbookViewId="0">
      <selection activeCell="A1" sqref="A1"/>
    </sheetView>
  </sheetViews>
  <sheetFormatPr baseColWidth="8" defaultRowHeight="15"/>
  <cols>
    <col width="1.5" customWidth="1" min="1" max="1"/>
    <col width="22" customWidth="1" min="2" max="2"/>
    <col width="20" customWidth="1" min="3" max="3"/>
    <col width="16" customWidth="1" min="4" max="4"/>
    <col width="14" customWidth="1" min="5" max="5"/>
    <col width="16" customWidth="1" min="6" max="6"/>
    <col width="14" customWidth="1" min="7" max="7"/>
    <col width="22" customWidth="1" min="8" max="8"/>
    <col width="14" customWidth="1" min="9" max="9"/>
    <col width="22" customWidth="1" min="10" max="10"/>
    <col width="24" customWidth="1" min="11" max="11"/>
  </cols>
  <sheetData>
    <row r="1" ht="10" customHeight="1"/>
    <row r="2" ht="22" customHeight="1">
      <c r="A2" s="1" t="inlineStr"/>
      <c r="B2" s="2" t="inlineStr">
        <is>
          <t>03</t>
        </is>
      </c>
      <c r="C2" s="3" t="inlineStr">
        <is>
          <t>— LEAD PIPELINE</t>
        </is>
      </c>
    </row>
    <row r="3" ht="16" customHeight="1">
      <c r="B3" s="4" t="inlineStr">
        <is>
          <t>Track every prospect from first contact to closed deal</t>
        </is>
      </c>
    </row>
    <row r="4" ht="3" customHeight="1">
      <c r="A4" s="1" t="inlineStr"/>
    </row>
    <row r="5" ht="8" customHeight="1"/>
    <row r="6" ht="20" customHeight="1">
      <c r="B6" s="11" t="inlineStr">
        <is>
          <t>Lead / Contact Name</t>
        </is>
      </c>
      <c r="C6" s="11" t="inlineStr">
        <is>
          <t>Company</t>
        </is>
      </c>
      <c r="D6" s="11" t="inlineStr">
        <is>
          <t>Stage</t>
        </is>
      </c>
      <c r="E6" s="11" t="inlineStr">
        <is>
          <t>Source</t>
        </is>
      </c>
      <c r="F6" s="11" t="inlineStr">
        <is>
          <t>Est. Monthly Fee (€)</t>
        </is>
      </c>
      <c r="G6" s="11" t="inlineStr">
        <is>
          <t>Cleanup Est. (€)</t>
        </is>
      </c>
      <c r="H6" s="11" t="inlineStr">
        <is>
          <t>Next Action</t>
        </is>
      </c>
      <c r="I6" s="11" t="inlineStr">
        <is>
          <t>Next Action Date</t>
        </is>
      </c>
      <c r="J6" s="11" t="inlineStr">
        <is>
          <t>Email</t>
        </is>
      </c>
      <c r="K6" s="11" t="inlineStr">
        <is>
          <t>Notes</t>
        </is>
      </c>
    </row>
    <row r="7" ht="20" customHeight="1">
      <c r="B7" s="12" t="inlineStr">
        <is>
          <t>Jamie Chen</t>
        </is>
      </c>
      <c r="C7" s="12" t="inlineStr">
        <is>
          <t>Oak &amp; Pine Co.</t>
        </is>
      </c>
      <c r="D7" s="12" t="inlineStr">
        <is>
          <t>Diagnostic Scheduled</t>
        </is>
      </c>
      <c r="E7" s="13" t="inlineStr">
        <is>
          <t>Referral</t>
        </is>
      </c>
      <c r="F7" s="14" t="n">
        <v>1200</v>
      </c>
      <c r="G7" s="14" t="n">
        <v>2400</v>
      </c>
      <c r="H7" s="13" t="inlineStr">
        <is>
          <t>Run diagnostic</t>
        </is>
      </c>
      <c r="I7" s="13" t="inlineStr">
        <is>
          <t>2026-07-03</t>
        </is>
      </c>
      <c r="J7" s="13" t="inlineStr">
        <is>
          <t>jamie@example.com</t>
        </is>
      </c>
      <c r="K7" s="13" t="inlineStr"/>
    </row>
    <row r="8" ht="20" customHeight="1">
      <c r="B8" s="15" t="inlineStr">
        <is>
          <t>[Lead Name]</t>
        </is>
      </c>
      <c r="C8" s="15" t="inlineStr">
        <is>
          <t>[Company]</t>
        </is>
      </c>
      <c r="D8" s="15" t="inlineStr">
        <is>
          <t>New Inquiry</t>
        </is>
      </c>
      <c r="E8" s="16" t="inlineStr">
        <is>
          <t>[Source]</t>
        </is>
      </c>
      <c r="F8" s="17" t="n">
        <v>0</v>
      </c>
      <c r="G8" s="17" t="n">
        <v>0</v>
      </c>
      <c r="H8" s="16" t="inlineStr">
        <is>
          <t>[Action]</t>
        </is>
      </c>
      <c r="I8" s="16" t="inlineStr"/>
      <c r="J8" s="16" t="inlineStr">
        <is>
          <t>[Email]</t>
        </is>
      </c>
      <c r="K8" s="16" t="inlineStr"/>
    </row>
    <row r="10" ht="22" customHeight="1">
      <c r="B10" s="20" t="inlineStr">
        <is>
          <t>TOTAL PIPELINE VALUE (MONTHLY)</t>
        </is>
      </c>
      <c r="E10" s="21">
        <f>SUMIF(D7:D200,"&lt;&gt;Closed Lost",F7:F200)</f>
        <v/>
      </c>
    </row>
    <row r="11" ht="22" customHeight="1">
      <c r="B11" s="22" t="inlineStr">
        <is>
          <t>OPEN LEAD COUNT</t>
        </is>
      </c>
      <c r="D11" s="23">
        <f>COUNTIF(D7:D200,"&lt;&gt;Closed Lost")-COUNTIF(D7:D200,"Closed Won")</f>
        <v/>
      </c>
    </row>
  </sheetData>
  <mergeCells count="6">
    <mergeCell ref="B10:D10"/>
    <mergeCell ref="B11:C11"/>
    <mergeCell ref="B3:P3"/>
    <mergeCell ref="C2:P2"/>
    <mergeCell ref="A2:A3"/>
    <mergeCell ref="A4:R4"/>
  </mergeCells>
  <conditionalFormatting sqref="D7:D200">
    <cfRule type="cellIs" priority="1" operator="equal" dxfId="0">
      <formula>"Closed Won"</formula>
    </cfRule>
    <cfRule type="cellIs" priority="2" operator="equal" dxfId="2">
      <formula>"Closed Lost"</formula>
    </cfRule>
  </conditionalFormatting>
  <dataValidations count="2">
    <dataValidation sqref="D7:D200" showDropDown="0" showInputMessage="0" showErrorMessage="0" allowBlank="1" type="list">
      <formula1>"New Inquiry,Intake Sent,Diagnostic Scheduled,Proposal Sent,Negotiating,Closed Won,Closed Lost"</formula1>
    </dataValidation>
    <dataValidation sqref="E7:E200" showDropDown="0" showInputMessage="0" showErrorMessage="0" allowBlank="1" type="list">
      <formula1>"Referral,Website,LinkedIn,Etsy,Cold Outreach,Other"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97706"/>
    <outlinePr summaryBelow="1" summaryRight="1"/>
    <pageSetUpPr/>
  </sheetPr>
  <dimension ref="A2:R27"/>
  <sheetViews>
    <sheetView showGridLines="0" zoomScale="95" workbookViewId="0">
      <selection activeCell="A1" sqref="A1"/>
    </sheetView>
  </sheetViews>
  <sheetFormatPr baseColWidth="8" defaultRowHeight="15"/>
  <cols>
    <col width="1.5" customWidth="1" min="1" max="1"/>
  </cols>
  <sheetData>
    <row r="1" ht="10" customHeight="1"/>
    <row r="2" ht="22" customHeight="1">
      <c r="A2" s="1" t="inlineStr"/>
      <c r="B2" s="2" t="inlineStr">
        <is>
          <t>04</t>
        </is>
      </c>
      <c r="C2" s="3" t="inlineStr">
        <is>
          <t>— PRICING CALCULATOR</t>
        </is>
      </c>
    </row>
    <row r="3" ht="16" customHeight="1">
      <c r="B3" s="4" t="inlineStr">
        <is>
          <t>Calculate client fees based on scope — fill amber cells</t>
        </is>
      </c>
    </row>
    <row r="4" ht="3" customHeight="1">
      <c r="A4" s="1" t="inlineStr"/>
    </row>
    <row r="5" ht="8" customHeight="1"/>
    <row r="6" ht="4" customHeight="1"/>
    <row r="7" ht="18" customHeight="1">
      <c r="B7" s="5" t="inlineStr">
        <is>
          <t>01  —  CLIENT INPUTS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 ht="6" customHeight="1"/>
    <row r="9" ht="22" customHeight="1">
      <c r="B9" s="7" t="inlineStr">
        <is>
          <t>Monthly Bank Transactions</t>
        </is>
      </c>
      <c r="C9" s="8" t="n"/>
      <c r="D9" s="8" t="n"/>
      <c r="E9" s="8" t="n"/>
      <c r="F9" s="8" t="n"/>
      <c r="G9" s="9" t="n"/>
      <c r="H9" s="24" t="n">
        <v>150</v>
      </c>
      <c r="I9" s="8" t="n"/>
      <c r="J9" s="9" t="n"/>
    </row>
    <row r="10" ht="22" customHeight="1">
      <c r="B10" s="7" t="inlineStr">
        <is>
          <t>Number of Bank Accounts</t>
        </is>
      </c>
      <c r="C10" s="8" t="n"/>
      <c r="D10" s="8" t="n"/>
      <c r="E10" s="8" t="n"/>
      <c r="F10" s="8" t="n"/>
      <c r="G10" s="9" t="n"/>
      <c r="H10" s="24" t="n">
        <v>3</v>
      </c>
      <c r="I10" s="8" t="n"/>
      <c r="J10" s="9" t="n"/>
    </row>
    <row r="11" ht="22" customHeight="1">
      <c r="B11" s="7" t="inlineStr">
        <is>
          <t>Number of Credit Cards</t>
        </is>
      </c>
      <c r="C11" s="8" t="n"/>
      <c r="D11" s="8" t="n"/>
      <c r="E11" s="8" t="n"/>
      <c r="F11" s="8" t="n"/>
      <c r="G11" s="9" t="n"/>
      <c r="H11" s="24" t="n">
        <v>2</v>
      </c>
      <c r="I11" s="8" t="n"/>
      <c r="J11" s="9" t="n"/>
    </row>
    <row r="12" ht="22" customHeight="1">
      <c r="B12" s="7" t="inlineStr">
        <is>
          <t>Has Payroll?  (1=Yes / 0=No)</t>
        </is>
      </c>
      <c r="C12" s="8" t="n"/>
      <c r="D12" s="8" t="n"/>
      <c r="E12" s="8" t="n"/>
      <c r="F12" s="8" t="n"/>
      <c r="G12" s="9" t="n"/>
      <c r="H12" s="24" t="n">
        <v>0</v>
      </c>
      <c r="I12" s="8" t="n"/>
      <c r="J12" s="9" t="n"/>
    </row>
    <row r="13" ht="22" customHeight="1">
      <c r="B13" s="7" t="inlineStr">
        <is>
          <t>Has Sales Tax / VAT?  (1=Yes / 0=No)</t>
        </is>
      </c>
      <c r="C13" s="8" t="n"/>
      <c r="D13" s="8" t="n"/>
      <c r="E13" s="8" t="n"/>
      <c r="F13" s="8" t="n"/>
      <c r="G13" s="9" t="n"/>
      <c r="H13" s="24" t="n">
        <v>0</v>
      </c>
      <c r="I13" s="8" t="n"/>
      <c r="J13" s="9" t="n"/>
    </row>
    <row r="14" ht="22" customHeight="1">
      <c r="B14" s="7" t="inlineStr">
        <is>
          <t>Has Multi-Entity / Class Tracking?  (1=Yes / 0=No)</t>
        </is>
      </c>
      <c r="C14" s="8" t="n"/>
      <c r="D14" s="8" t="n"/>
      <c r="E14" s="8" t="n"/>
      <c r="F14" s="8" t="n"/>
      <c r="G14" s="9" t="n"/>
      <c r="H14" s="24" t="n">
        <v>0</v>
      </c>
      <c r="I14" s="8" t="n"/>
      <c r="J14" s="9" t="n"/>
    </row>
    <row r="15" ht="22" customHeight="1">
      <c r="B15" s="7" t="inlineStr">
        <is>
          <t>Has Foreign Currency?  (1=Yes / 0=No)</t>
        </is>
      </c>
      <c r="C15" s="8" t="n"/>
      <c r="D15" s="8" t="n"/>
      <c r="E15" s="8" t="n"/>
      <c r="F15" s="8" t="n"/>
      <c r="G15" s="9" t="n"/>
      <c r="H15" s="24" t="n">
        <v>0</v>
      </c>
      <c r="I15" s="8" t="n"/>
      <c r="J15" s="9" t="n"/>
    </row>
    <row r="16" ht="22" customHeight="1">
      <c r="B16" s="7" t="inlineStr">
        <is>
          <t>Cleanup Months Needed</t>
        </is>
      </c>
      <c r="C16" s="8" t="n"/>
      <c r="D16" s="8" t="n"/>
      <c r="E16" s="8" t="n"/>
      <c r="F16" s="8" t="n"/>
      <c r="G16" s="9" t="n"/>
      <c r="H16" s="24" t="n">
        <v>0</v>
      </c>
      <c r="I16" s="8" t="n"/>
      <c r="J16" s="9" t="n"/>
    </row>
    <row r="17" ht="4" customHeight="1"/>
    <row r="18" ht="18" customHeight="1">
      <c r="B18" s="5" t="inlineStr">
        <is>
          <t>02  —  CALCULATED FEES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</row>
    <row r="19" ht="6" customHeight="1"/>
    <row r="20" ht="22" customHeight="1">
      <c r="B20" s="7" t="inlineStr">
        <is>
          <t>Base Monthly Fee</t>
        </is>
      </c>
      <c r="C20" s="8" t="n"/>
      <c r="D20" s="8" t="n"/>
      <c r="E20" s="8" t="n"/>
      <c r="F20" s="8" t="n"/>
      <c r="G20" s="9" t="n"/>
      <c r="H20" s="25">
        <f>IF(H9&lt;=100,650,IF(H9&lt;=300,1200,2200))</f>
        <v/>
      </c>
      <c r="I20" s="8" t="n"/>
      <c r="J20" s="9" t="n"/>
    </row>
    <row r="21" ht="22" customHeight="1">
      <c r="B21" s="7" t="inlineStr">
        <is>
          <t>Payroll Add-On</t>
        </is>
      </c>
      <c r="C21" s="8" t="n"/>
      <c r="D21" s="8" t="n"/>
      <c r="E21" s="8" t="n"/>
      <c r="F21" s="8" t="n"/>
      <c r="G21" s="9" t="n"/>
      <c r="H21" s="25">
        <f>IF(H12=1,150,0)</f>
        <v/>
      </c>
      <c r="I21" s="8" t="n"/>
      <c r="J21" s="9" t="n"/>
    </row>
    <row r="22" ht="22" customHeight="1">
      <c r="B22" s="7" t="inlineStr">
        <is>
          <t>Sales Tax / VAT Add-On</t>
        </is>
      </c>
      <c r="C22" s="8" t="n"/>
      <c r="D22" s="8" t="n"/>
      <c r="E22" s="8" t="n"/>
      <c r="F22" s="8" t="n"/>
      <c r="G22" s="9" t="n"/>
      <c r="H22" s="25">
        <f>IF(H13=1,100,0)</f>
        <v/>
      </c>
      <c r="I22" s="8" t="n"/>
      <c r="J22" s="9" t="n"/>
    </row>
    <row r="23" ht="22" customHeight="1">
      <c r="B23" s="7" t="inlineStr">
        <is>
          <t>Multi-Entity Add-On</t>
        </is>
      </c>
      <c r="C23" s="8" t="n"/>
      <c r="D23" s="8" t="n"/>
      <c r="E23" s="8" t="n"/>
      <c r="F23" s="8" t="n"/>
      <c r="G23" s="9" t="n"/>
      <c r="H23" s="25">
        <f>IF(H14=1,300,0)</f>
        <v/>
      </c>
      <c r="I23" s="8" t="n"/>
      <c r="J23" s="9" t="n"/>
    </row>
    <row r="24" ht="22" customHeight="1">
      <c r="B24" s="7" t="inlineStr">
        <is>
          <t>Foreign Currency Add-On</t>
        </is>
      </c>
      <c r="C24" s="8" t="n"/>
      <c r="D24" s="8" t="n"/>
      <c r="E24" s="8" t="n"/>
      <c r="F24" s="8" t="n"/>
      <c r="G24" s="9" t="n"/>
      <c r="H24" s="25">
        <f>IF(H15=1,200,0)</f>
        <v/>
      </c>
      <c r="I24" s="8" t="n"/>
      <c r="J24" s="9" t="n"/>
    </row>
    <row r="25" ht="22" customHeight="1">
      <c r="B25" s="7" t="inlineStr">
        <is>
          <t>Cleanup Project Estimate</t>
        </is>
      </c>
      <c r="C25" s="8" t="n"/>
      <c r="D25" s="8" t="n"/>
      <c r="E25" s="8" t="n"/>
      <c r="F25" s="8" t="n"/>
      <c r="G25" s="9" t="n"/>
      <c r="H25" s="25">
        <f>H16*400</f>
        <v/>
      </c>
      <c r="I25" s="8" t="n"/>
      <c r="J25" s="9" t="n"/>
    </row>
    <row r="26" ht="28" customHeight="1">
      <c r="B26" s="26" t="inlineStr">
        <is>
          <t>RECOMMENDED MONTHLY FEE</t>
        </is>
      </c>
      <c r="H26" s="27">
        <f>SUM(H20:H25)-H25</f>
        <v/>
      </c>
      <c r="I26" s="28" t="n"/>
      <c r="J26" s="29" t="n"/>
    </row>
    <row r="27" ht="24" customHeight="1">
      <c r="B27" s="30" t="inlineStr">
        <is>
          <t>CLEANUP PROJECT ESTIMATE (one-time)</t>
        </is>
      </c>
      <c r="H27" s="31">
        <f>H26</f>
        <v/>
      </c>
      <c r="I27" s="32" t="n"/>
      <c r="J27" s="33" t="n"/>
    </row>
  </sheetData>
  <mergeCells count="38">
    <mergeCell ref="B14:G14"/>
    <mergeCell ref="B23:G23"/>
    <mergeCell ref="B13:G13"/>
    <mergeCell ref="H11:J11"/>
    <mergeCell ref="H16:J16"/>
    <mergeCell ref="B10:G10"/>
    <mergeCell ref="H22:J22"/>
    <mergeCell ref="H13:J13"/>
    <mergeCell ref="B9:G9"/>
    <mergeCell ref="H27:J27"/>
    <mergeCell ref="A2:A3"/>
    <mergeCell ref="H12:J12"/>
    <mergeCell ref="B15:G15"/>
    <mergeCell ref="A4:R4"/>
    <mergeCell ref="H15:J15"/>
    <mergeCell ref="B24:G24"/>
    <mergeCell ref="B20:G20"/>
    <mergeCell ref="H24:J24"/>
    <mergeCell ref="H14:J14"/>
    <mergeCell ref="H23:J23"/>
    <mergeCell ref="C2:P2"/>
    <mergeCell ref="B26:G26"/>
    <mergeCell ref="H26:J26"/>
    <mergeCell ref="B25:G25"/>
    <mergeCell ref="H20:J20"/>
    <mergeCell ref="B16:G16"/>
    <mergeCell ref="B7:P7"/>
    <mergeCell ref="H10:J10"/>
    <mergeCell ref="B22:G22"/>
    <mergeCell ref="B3:P3"/>
    <mergeCell ref="B27:G27"/>
    <mergeCell ref="H9:J9"/>
    <mergeCell ref="B12:G12"/>
    <mergeCell ref="B21:G21"/>
    <mergeCell ref="B18:P18"/>
    <mergeCell ref="H25:J25"/>
    <mergeCell ref="H21:J21"/>
    <mergeCell ref="B11:G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F766E"/>
    <outlinePr summaryBelow="1" summaryRight="1"/>
    <pageSetUpPr/>
  </sheetPr>
  <dimension ref="A2:R9"/>
  <sheetViews>
    <sheetView showGridLines="0" zoomScale="95" workbookViewId="0">
      <selection activeCell="A1" sqref="A1"/>
    </sheetView>
  </sheetViews>
  <sheetFormatPr baseColWidth="8" defaultRowHeight="15"/>
  <cols>
    <col width="1.5" customWidth="1" min="1" max="1"/>
    <col width="12" customWidth="1" min="2" max="2"/>
    <col width="22" customWidth="1" min="3" max="3"/>
    <col width="16" customWidth="1" min="4" max="4"/>
    <col width="14" customWidth="1" min="5" max="5"/>
    <col width="10" customWidth="1" min="6" max="6"/>
    <col width="10" customWidth="1" min="7" max="7"/>
    <col width="12" customWidth="1" min="8" max="8"/>
    <col width="16" customWidth="1" min="9" max="9"/>
    <col width="14" customWidth="1" min="10" max="10"/>
    <col width="12" customWidth="1" min="11" max="11"/>
    <col width="28" customWidth="1" min="12" max="12"/>
  </cols>
  <sheetData>
    <row r="1" ht="10" customHeight="1"/>
    <row r="2" ht="22" customHeight="1">
      <c r="A2" s="1" t="inlineStr"/>
      <c r="B2" s="2" t="inlineStr">
        <is>
          <t>05</t>
        </is>
      </c>
      <c r="C2" s="3" t="inlineStr">
        <is>
          <t>— MONTHLY CLOSE TRACKER</t>
        </is>
      </c>
    </row>
    <row r="3" ht="16" customHeight="1">
      <c r="B3" s="4" t="inlineStr">
        <is>
          <t>Track close status for every client each period</t>
        </is>
      </c>
    </row>
    <row r="4" ht="3" customHeight="1">
      <c r="A4" s="1" t="inlineStr"/>
    </row>
    <row r="5" ht="8" customHeight="1"/>
    <row r="6" ht="20" customHeight="1">
      <c r="B6" s="11" t="inlineStr">
        <is>
          <t>Period</t>
        </is>
      </c>
      <c r="C6" s="11" t="inlineStr">
        <is>
          <t>Client</t>
        </is>
      </c>
      <c r="D6" s="11" t="inlineStr">
        <is>
          <t>Status</t>
        </is>
      </c>
      <c r="E6" s="11" t="inlineStr">
        <is>
          <t>Owner</t>
        </is>
      </c>
      <c r="F6" s="11" t="inlineStr">
        <is>
          <t>Bank Rec.</t>
        </is>
      </c>
      <c r="G6" s="11" t="inlineStr">
        <is>
          <t>Card Rec.</t>
        </is>
      </c>
      <c r="H6" s="11" t="inlineStr">
        <is>
          <t>Questions Sent</t>
        </is>
      </c>
      <c r="I6" s="11" t="inlineStr">
        <is>
          <t>Questions Answered</t>
        </is>
      </c>
      <c r="J6" s="11" t="inlineStr">
        <is>
          <t>Reports Delivered</t>
        </is>
      </c>
      <c r="K6" s="11" t="inlineStr">
        <is>
          <t>Due Date</t>
        </is>
      </c>
      <c r="L6" s="11" t="inlineStr">
        <is>
          <t>Review Notes</t>
        </is>
      </c>
    </row>
    <row r="7" ht="20" customHeight="1">
      <c r="B7" s="12" t="inlineStr">
        <is>
          <t>2026-07</t>
        </is>
      </c>
      <c r="C7" s="12" t="inlineStr">
        <is>
          <t>Harbor Design LLC</t>
        </is>
      </c>
      <c r="D7" s="12" t="inlineStr">
        <is>
          <t>In Progress</t>
        </is>
      </c>
      <c r="E7" s="13" t="inlineStr">
        <is>
          <t>[OWNER]</t>
        </is>
      </c>
      <c r="F7" s="13" t="inlineStr">
        <is>
          <t>Yes</t>
        </is>
      </c>
      <c r="G7" s="13" t="inlineStr">
        <is>
          <t>No</t>
        </is>
      </c>
      <c r="H7" s="13" t="inlineStr">
        <is>
          <t>No</t>
        </is>
      </c>
      <c r="I7" s="13" t="inlineStr">
        <is>
          <t>No</t>
        </is>
      </c>
      <c r="J7" s="13" t="inlineStr">
        <is>
          <t>No</t>
        </is>
      </c>
      <c r="K7" s="13" t="inlineStr">
        <is>
          <t>2026-08-15</t>
        </is>
      </c>
      <c r="L7" s="13" t="inlineStr"/>
    </row>
    <row r="8" ht="20" customHeight="1">
      <c r="B8" s="15" t="inlineStr">
        <is>
          <t>2026-07</t>
        </is>
      </c>
      <c r="C8" s="15" t="inlineStr">
        <is>
          <t>Oak &amp; Pine Co.</t>
        </is>
      </c>
      <c r="D8" s="15" t="inlineStr">
        <is>
          <t>Not Started</t>
        </is>
      </c>
      <c r="E8" s="16" t="inlineStr">
        <is>
          <t>[OWNER]</t>
        </is>
      </c>
      <c r="F8" s="16" t="inlineStr">
        <is>
          <t>No</t>
        </is>
      </c>
      <c r="G8" s="16" t="inlineStr">
        <is>
          <t>No</t>
        </is>
      </c>
      <c r="H8" s="16" t="inlineStr">
        <is>
          <t>No</t>
        </is>
      </c>
      <c r="I8" s="16" t="inlineStr">
        <is>
          <t>No</t>
        </is>
      </c>
      <c r="J8" s="16" t="inlineStr">
        <is>
          <t>No</t>
        </is>
      </c>
      <c r="K8" s="16" t="inlineStr">
        <is>
          <t>2026-08-15</t>
        </is>
      </c>
      <c r="L8" s="16" t="inlineStr"/>
    </row>
    <row r="9" ht="20" customHeight="1">
      <c r="B9" s="12" t="inlineStr">
        <is>
          <t>2026-07</t>
        </is>
      </c>
      <c r="C9" s="12" t="inlineStr">
        <is>
          <t>[Client Name]</t>
        </is>
      </c>
      <c r="D9" s="12" t="inlineStr">
        <is>
          <t>Not Started</t>
        </is>
      </c>
      <c r="E9" s="13" t="inlineStr">
        <is>
          <t>[OWNER]</t>
        </is>
      </c>
      <c r="F9" s="13" t="inlineStr">
        <is>
          <t>No</t>
        </is>
      </c>
      <c r="G9" s="13" t="inlineStr">
        <is>
          <t>No</t>
        </is>
      </c>
      <c r="H9" s="13" t="inlineStr">
        <is>
          <t>No</t>
        </is>
      </c>
      <c r="I9" s="13" t="inlineStr">
        <is>
          <t>No</t>
        </is>
      </c>
      <c r="J9" s="13" t="inlineStr">
        <is>
          <t>No</t>
        </is>
      </c>
      <c r="K9" s="13" t="inlineStr"/>
      <c r="L9" s="13" t="inlineStr"/>
    </row>
  </sheetData>
  <mergeCells count="4">
    <mergeCell ref="C2:P2"/>
    <mergeCell ref="B3:P3"/>
    <mergeCell ref="A2:A3"/>
    <mergeCell ref="A4:R4"/>
  </mergeCells>
  <conditionalFormatting sqref="D7:D500">
    <cfRule type="cellIs" priority="1" operator="equal" dxfId="0">
      <formula>"Delivered"</formula>
    </cfRule>
    <cfRule type="cellIs" priority="2" operator="equal" dxfId="3">
      <formula>"Not Started"</formula>
    </cfRule>
  </conditionalFormatting>
  <conditionalFormatting sqref="F7:J500">
    <cfRule type="cellIs" priority="3" operator="equal" dxfId="0">
      <formula>"Yes"</formula>
    </cfRule>
    <cfRule type="cellIs" priority="4" operator="equal" dxfId="2">
      <formula>"No"</formula>
    </cfRule>
  </conditionalFormatting>
  <dataValidations count="2">
    <dataValidation sqref="D7:D500" showDropDown="0" showInputMessage="0" showErrorMessage="0" allowBlank="1" type="list">
      <formula1>"Not Started,In Progress,Questions Pending,Under Review,Delivered,On Hold"</formula1>
    </dataValidation>
    <dataValidation sqref="F7:J500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F766E"/>
    <outlinePr summaryBelow="1" summaryRight="1"/>
    <pageSetUpPr/>
  </sheetPr>
  <dimension ref="A2:R13"/>
  <sheetViews>
    <sheetView showGridLines="0" zoomScale="95" workbookViewId="0">
      <selection activeCell="A1" sqref="A1"/>
    </sheetView>
  </sheetViews>
  <sheetFormatPr baseColWidth="8" defaultRowHeight="15"/>
  <cols>
    <col width="1.5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24" customWidth="1" min="11" max="11"/>
  </cols>
  <sheetData>
    <row r="1" ht="10" customHeight="1"/>
    <row r="2" ht="22" customHeight="1">
      <c r="A2" s="1" t="inlineStr"/>
      <c r="B2" s="2" t="inlineStr">
        <is>
          <t>06</t>
        </is>
      </c>
      <c r="C2" s="3" t="inlineStr">
        <is>
          <t>— INVOICE TRACKER</t>
        </is>
      </c>
    </row>
    <row r="3" ht="16" customHeight="1">
      <c r="B3" s="4" t="inlineStr">
        <is>
          <t>Track all invoices, payment status, and outstanding balances</t>
        </is>
      </c>
    </row>
    <row r="4" ht="3" customHeight="1">
      <c r="A4" s="1" t="inlineStr"/>
    </row>
    <row r="5" ht="8" customHeight="1"/>
    <row r="6" ht="20" customHeight="1">
      <c r="B6" s="11" t="inlineStr">
        <is>
          <t>Invoice #</t>
        </is>
      </c>
      <c r="C6" s="11" t="inlineStr">
        <is>
          <t>Client</t>
        </is>
      </c>
      <c r="D6" s="11" t="inlineStr">
        <is>
          <t>Issue Date</t>
        </is>
      </c>
      <c r="E6" s="11" t="inlineStr">
        <is>
          <t>Due Date</t>
        </is>
      </c>
      <c r="F6" s="11" t="inlineStr">
        <is>
          <t>Amount (€)</t>
        </is>
      </c>
      <c r="G6" s="11" t="inlineStr">
        <is>
          <t>Status</t>
        </is>
      </c>
      <c r="H6" s="11" t="inlineStr">
        <is>
          <t>Paid Date</t>
        </is>
      </c>
      <c r="I6" s="11" t="inlineStr">
        <is>
          <t>Service Period</t>
        </is>
      </c>
      <c r="J6" s="11" t="inlineStr">
        <is>
          <t>Method</t>
        </is>
      </c>
      <c r="K6" s="11" t="inlineStr">
        <is>
          <t>Notes</t>
        </is>
      </c>
    </row>
    <row r="7" ht="20" customHeight="1">
      <c r="B7" s="12" t="inlineStr">
        <is>
          <t>INV-001</t>
        </is>
      </c>
      <c r="C7" s="12" t="inlineStr">
        <is>
          <t>Harbor Design LLC</t>
        </is>
      </c>
      <c r="D7" s="12" t="inlineStr">
        <is>
          <t>2026-07-01</t>
        </is>
      </c>
      <c r="E7" s="13" t="inlineStr">
        <is>
          <t>2026-07-08</t>
        </is>
      </c>
      <c r="F7" s="14" t="n">
        <v>850</v>
      </c>
      <c r="G7" s="13" t="inlineStr">
        <is>
          <t>Paid</t>
        </is>
      </c>
      <c r="H7" s="13" t="inlineStr">
        <is>
          <t>2026-07-05</t>
        </is>
      </c>
      <c r="I7" s="13" t="inlineStr">
        <is>
          <t>2026-07</t>
        </is>
      </c>
      <c r="J7" s="13" t="inlineStr">
        <is>
          <t>Bank Transfer</t>
        </is>
      </c>
      <c r="K7" s="13" t="inlineStr"/>
    </row>
    <row r="8" ht="20" customHeight="1">
      <c r="B8" s="15" t="inlineStr">
        <is>
          <t>INV-002</t>
        </is>
      </c>
      <c r="C8" s="15" t="inlineStr">
        <is>
          <t>Oak &amp; Pine Co.</t>
        </is>
      </c>
      <c r="D8" s="15" t="inlineStr">
        <is>
          <t>2026-07-01</t>
        </is>
      </c>
      <c r="E8" s="16" t="inlineStr">
        <is>
          <t>2026-07-08</t>
        </is>
      </c>
      <c r="F8" s="17" t="n">
        <v>1200</v>
      </c>
      <c r="G8" s="16" t="inlineStr">
        <is>
          <t>Paid</t>
        </is>
      </c>
      <c r="H8" s="16" t="inlineStr">
        <is>
          <t>2026-07-03</t>
        </is>
      </c>
      <c r="I8" s="16" t="inlineStr">
        <is>
          <t>2026-07</t>
        </is>
      </c>
      <c r="J8" s="16" t="inlineStr">
        <is>
          <t>Bank Transfer</t>
        </is>
      </c>
      <c r="K8" s="16" t="inlineStr"/>
    </row>
    <row r="9" ht="20" customHeight="1">
      <c r="B9" s="12" t="inlineStr">
        <is>
          <t>INV-003</t>
        </is>
      </c>
      <c r="C9" s="12" t="inlineStr">
        <is>
          <t>[Client Name]</t>
        </is>
      </c>
      <c r="D9" s="12" t="inlineStr">
        <is>
          <t>2026-08-01</t>
        </is>
      </c>
      <c r="E9" s="13" t="inlineStr">
        <is>
          <t>2026-08-08</t>
        </is>
      </c>
      <c r="F9" s="14" t="n">
        <v>0</v>
      </c>
      <c r="G9" s="13" t="inlineStr">
        <is>
          <t>Draft</t>
        </is>
      </c>
      <c r="H9" s="13" t="inlineStr"/>
      <c r="I9" s="13" t="inlineStr">
        <is>
          <t>2026-08</t>
        </is>
      </c>
      <c r="J9" s="13" t="inlineStr"/>
      <c r="K9" s="13" t="inlineStr"/>
    </row>
    <row r="11" ht="24" customHeight="1">
      <c r="B11" s="20" t="inlineStr">
        <is>
          <t>TOTAL INVOICED</t>
        </is>
      </c>
      <c r="D11" s="21">
        <f>SUMIF(G7:G500,"&lt;&gt;Void",F7:F500)</f>
        <v/>
      </c>
    </row>
    <row r="12">
      <c r="B12" s="20" t="inlineStr">
        <is>
          <t>TOTAL PAID</t>
        </is>
      </c>
      <c r="E12" s="21">
        <f>SUMIF(G7:G500,"Paid",F7:F500)</f>
        <v/>
      </c>
    </row>
    <row r="13">
      <c r="B13" s="22" t="inlineStr">
        <is>
          <t>TOTAL OUTSTANDING</t>
        </is>
      </c>
      <c r="F13" s="34">
        <f>SUMIF(G7:G500,"Sent",F7:F500)+SUMIF(G7:G500,"Overdue",F7:F500)</f>
        <v/>
      </c>
    </row>
  </sheetData>
  <mergeCells count="7">
    <mergeCell ref="B11:C11"/>
    <mergeCell ref="B13:E13"/>
    <mergeCell ref="B3:P3"/>
    <mergeCell ref="C2:P2"/>
    <mergeCell ref="A2:A3"/>
    <mergeCell ref="B12:D12"/>
    <mergeCell ref="A4:R4"/>
  </mergeCells>
  <conditionalFormatting sqref="G7:G500">
    <cfRule type="cellIs" priority="1" operator="equal" dxfId="0">
      <formula>"Paid"</formula>
    </cfRule>
    <cfRule type="cellIs" priority="2" operator="equal" dxfId="1">
      <formula>"Overdue"</formula>
    </cfRule>
  </conditionalFormatting>
  <dataValidations count="1">
    <dataValidation sqref="G7:G500" showDropDown="0" showInputMessage="0" showErrorMessage="0" allowBlank="1" type="list">
      <formula1>"Draft,Sent,Paid,Overdue,Void"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F766E"/>
    <outlinePr summaryBelow="1" summaryRight="1"/>
    <pageSetUpPr/>
  </sheetPr>
  <dimension ref="A2:R8"/>
  <sheetViews>
    <sheetView showGridLines="0" zoomScale="95" workbookViewId="0">
      <selection activeCell="A1" sqref="A1"/>
    </sheetView>
  </sheetViews>
  <sheetFormatPr baseColWidth="8" defaultRowHeight="15"/>
  <cols>
    <col width="1.5" customWidth="1" min="1" max="1"/>
    <col width="2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  <col width="14" customWidth="1" min="10" max="10"/>
    <col width="16" customWidth="1" min="11" max="11"/>
    <col width="18" customWidth="1" min="12" max="12"/>
    <col width="20" customWidth="1" min="13" max="13"/>
  </cols>
  <sheetData>
    <row r="1" ht="10" customHeight="1"/>
    <row r="2" ht="22" customHeight="1">
      <c r="A2" s="1" t="inlineStr"/>
      <c r="B2" s="2" t="inlineStr">
        <is>
          <t>07</t>
        </is>
      </c>
      <c r="C2" s="3" t="inlineStr">
        <is>
          <t>— TAX DOCUMENTS</t>
        </is>
      </c>
    </row>
    <row r="3" ht="16" customHeight="1">
      <c r="B3" s="4" t="inlineStr">
        <is>
          <t>Track year-end document collection status per client</t>
        </is>
      </c>
    </row>
    <row r="4" ht="3" customHeight="1">
      <c r="A4" s="1" t="inlineStr"/>
    </row>
    <row r="5" ht="8" customHeight="1"/>
    <row r="6" ht="20" customHeight="1">
      <c r="B6" s="11" t="inlineStr">
        <is>
          <t>Client</t>
        </is>
      </c>
      <c r="C6" s="11" t="inlineStr">
        <is>
          <t>Fiscal Year</t>
        </is>
      </c>
      <c r="D6" s="11" t="inlineStr">
        <is>
          <t>Income Docs</t>
        </is>
      </c>
      <c r="E6" s="11" t="inlineStr">
        <is>
          <t>Bank Stmts</t>
        </is>
      </c>
      <c r="F6" s="11" t="inlineStr">
        <is>
          <t>Payroll</t>
        </is>
      </c>
      <c r="G6" s="11" t="inlineStr">
        <is>
          <t>Expenses</t>
        </is>
      </c>
      <c r="H6" s="11" t="inlineStr">
        <is>
          <t>Assets/Debt</t>
        </is>
      </c>
      <c r="I6" s="11" t="inlineStr">
        <is>
          <t>Tax/Compliance</t>
        </is>
      </c>
      <c r="J6" s="11" t="inlineStr">
        <is>
          <t>Owner Activity</t>
        </is>
      </c>
      <c r="K6" s="11" t="inlineStr">
        <is>
          <t>Package Delivered</t>
        </is>
      </c>
      <c r="L6" s="11" t="inlineStr">
        <is>
          <t>Tax Preparer</t>
        </is>
      </c>
      <c r="M6" s="11" t="inlineStr">
        <is>
          <t>Notes</t>
        </is>
      </c>
    </row>
    <row r="7" ht="20" customHeight="1">
      <c r="B7" s="12" t="inlineStr">
        <is>
          <t>Harbor Design LLC</t>
        </is>
      </c>
      <c r="C7" s="13" t="inlineStr">
        <is>
          <t>2025</t>
        </is>
      </c>
      <c r="D7" s="13" t="inlineStr">
        <is>
          <t>Received</t>
        </is>
      </c>
      <c r="E7" s="13" t="inlineStr">
        <is>
          <t>Received</t>
        </is>
      </c>
      <c r="F7" s="13" t="inlineStr">
        <is>
          <t>N/A</t>
        </is>
      </c>
      <c r="G7" s="13" t="inlineStr">
        <is>
          <t>Received</t>
        </is>
      </c>
      <c r="H7" s="13" t="inlineStr">
        <is>
          <t>Received</t>
        </is>
      </c>
      <c r="I7" s="13" t="inlineStr">
        <is>
          <t>Pending</t>
        </is>
      </c>
      <c r="J7" s="13" t="inlineStr">
        <is>
          <t>N/A</t>
        </is>
      </c>
      <c r="K7" s="13" t="inlineStr">
        <is>
          <t>No</t>
        </is>
      </c>
      <c r="L7" s="13" t="inlineStr">
        <is>
          <t>[Tax Preparer]</t>
        </is>
      </c>
      <c r="M7" s="13" t="inlineStr"/>
    </row>
    <row r="8" ht="20" customHeight="1">
      <c r="B8" s="15" t="inlineStr">
        <is>
          <t>Oak &amp; Pine Co.</t>
        </is>
      </c>
      <c r="C8" s="16" t="inlineStr">
        <is>
          <t>2025</t>
        </is>
      </c>
      <c r="D8" s="16" t="inlineStr">
        <is>
          <t>Pending</t>
        </is>
      </c>
      <c r="E8" s="16" t="inlineStr">
        <is>
          <t>Pending</t>
        </is>
      </c>
      <c r="F8" s="16" t="inlineStr">
        <is>
          <t>Pending</t>
        </is>
      </c>
      <c r="G8" s="16" t="inlineStr">
        <is>
          <t>Pending</t>
        </is>
      </c>
      <c r="H8" s="16" t="inlineStr">
        <is>
          <t>Pending</t>
        </is>
      </c>
      <c r="I8" s="16" t="inlineStr">
        <is>
          <t>Pending</t>
        </is>
      </c>
      <c r="J8" s="16" t="inlineStr">
        <is>
          <t>Pending</t>
        </is>
      </c>
      <c r="K8" s="16" t="inlineStr">
        <is>
          <t>No</t>
        </is>
      </c>
      <c r="L8" s="16" t="inlineStr">
        <is>
          <t>[Tax Preparer]</t>
        </is>
      </c>
      <c r="M8" s="16" t="inlineStr"/>
    </row>
  </sheetData>
  <mergeCells count="4">
    <mergeCell ref="C2:P2"/>
    <mergeCell ref="B3:P3"/>
    <mergeCell ref="A2:A3"/>
    <mergeCell ref="A4:R4"/>
  </mergeCells>
  <conditionalFormatting sqref="D7:J500">
    <cfRule type="cellIs" priority="1" operator="equal" dxfId="0">
      <formula>"Received"</formula>
    </cfRule>
  </conditionalFormatting>
  <dataValidations count="2">
    <dataValidation sqref="D7:J500" showDropDown="0" showInputMessage="0" showErrorMessage="0" allowBlank="1" type="list">
      <formula1>"Pending,Requested,Received,N/A"</formula1>
    </dataValidation>
    <dataValidation sqref="K7:K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4748B"/>
    <outlinePr summaryBelow="1" summaryRight="1"/>
    <pageSetUpPr/>
  </sheetPr>
  <dimension ref="A2:R21"/>
  <sheetViews>
    <sheetView showGridLines="0" zoomScale="95" workbookViewId="0">
      <selection activeCell="A1" sqref="A1"/>
    </sheetView>
  </sheetViews>
  <sheetFormatPr baseColWidth="8" defaultRowHeight="15"/>
  <cols>
    <col width="1.5" customWidth="1" min="1" max="1"/>
    <col width="22" customWidth="1" min="2" max="2"/>
    <col width="14" customWidth="1" min="3" max="3"/>
    <col width="16" customWidth="1" min="4" max="4"/>
    <col width="12" customWidth="1" min="5" max="5"/>
    <col width="28" customWidth="1" min="6" max="6"/>
  </cols>
  <sheetData>
    <row r="1" ht="10" customHeight="1"/>
    <row r="2" ht="22" customHeight="1">
      <c r="A2" s="1" t="inlineStr"/>
      <c r="B2" s="2" t="inlineStr">
        <is>
          <t>08</t>
        </is>
      </c>
      <c r="C2" s="3" t="inlineStr">
        <is>
          <t>— CAPACITY PLANNER</t>
        </is>
      </c>
    </row>
    <row r="3" ht="16" customHeight="1">
      <c r="B3" s="4" t="inlineStr">
        <is>
          <t>Plan your available hours vs. committed client time</t>
        </is>
      </c>
    </row>
    <row r="4" ht="3" customHeight="1">
      <c r="A4" s="1" t="inlineStr"/>
    </row>
    <row r="5" ht="8" customHeight="1"/>
    <row r="6" ht="4" customHeight="1"/>
    <row r="7" ht="18" customHeight="1">
      <c r="B7" s="5" t="inlineStr">
        <is>
          <t>01  —  WEEKLY CAPACITY INPUTS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 ht="6" customHeight="1"/>
    <row r="9" ht="22" customHeight="1">
      <c r="B9" s="7" t="inlineStr">
        <is>
          <t>Total available hours per week</t>
        </is>
      </c>
      <c r="C9" s="8" t="n"/>
      <c r="D9" s="8" t="n"/>
      <c r="E9" s="8" t="n"/>
      <c r="F9" s="9" t="n"/>
      <c r="G9" s="24" t="n">
        <v>40</v>
      </c>
      <c r="H9" s="8" t="n"/>
      <c r="I9" s="9" t="n"/>
    </row>
    <row r="10" ht="22" customHeight="1">
      <c r="B10" s="7" t="inlineStr">
        <is>
          <t>Admin / sales hours per week</t>
        </is>
      </c>
      <c r="C10" s="8" t="n"/>
      <c r="D10" s="8" t="n"/>
      <c r="E10" s="8" t="n"/>
      <c r="F10" s="9" t="n"/>
      <c r="G10" s="24" t="n">
        <v>8</v>
      </c>
      <c r="H10" s="8" t="n"/>
      <c r="I10" s="9" t="n"/>
    </row>
    <row r="11" ht="22" customHeight="1">
      <c r="B11" s="7" t="inlineStr">
        <is>
          <t>Buffer / training hours per week</t>
        </is>
      </c>
      <c r="C11" s="8" t="n"/>
      <c r="D11" s="8" t="n"/>
      <c r="E11" s="8" t="n"/>
      <c r="F11" s="9" t="n"/>
      <c r="G11" s="24" t="n">
        <v>2</v>
      </c>
      <c r="H11" s="8" t="n"/>
      <c r="I11" s="9" t="n"/>
    </row>
    <row r="12" ht="22" customHeight="1">
      <c r="B12" s="7" t="inlineStr">
        <is>
          <t>Billable hours available per week</t>
        </is>
      </c>
      <c r="C12" s="8" t="n"/>
      <c r="D12" s="8" t="n"/>
      <c r="E12" s="8" t="n"/>
      <c r="F12" s="9" t="n"/>
      <c r="G12" s="35">
        <f>G9-G10-G11</f>
        <v/>
      </c>
      <c r="H12" s="8" t="n"/>
      <c r="I12" s="9" t="n"/>
    </row>
    <row r="13" ht="4" customHeight="1"/>
    <row r="14" ht="18" customHeight="1">
      <c r="B14" s="5" t="inlineStr">
        <is>
          <t>02  —  CLIENT TIME COMMITMENTS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 ht="6" customHeight="1"/>
    <row r="16" ht="20" customHeight="1">
      <c r="B16" s="11" t="inlineStr">
        <is>
          <t>Client</t>
        </is>
      </c>
      <c r="C16" s="11" t="inlineStr">
        <is>
          <t>Package</t>
        </is>
      </c>
      <c r="D16" s="11" t="inlineStr">
        <is>
          <t>Avg Hours/Month</t>
        </is>
      </c>
      <c r="E16" s="11" t="inlineStr">
        <is>
          <t>Hours/Week</t>
        </is>
      </c>
      <c r="F16" s="11" t="inlineStr">
        <is>
          <t>Notes</t>
        </is>
      </c>
    </row>
    <row r="17" ht="20" customHeight="1">
      <c r="B17" s="12" t="inlineStr">
        <is>
          <t>Harbor Design LLC</t>
        </is>
      </c>
      <c r="C17" s="12" t="inlineStr">
        <is>
          <t>Growth</t>
        </is>
      </c>
      <c r="D17" s="36" t="n">
        <v>8</v>
      </c>
      <c r="E17" s="36">
        <f>D17/4</f>
        <v/>
      </c>
      <c r="F17" s="13" t="inlineStr"/>
    </row>
    <row r="18" ht="20" customHeight="1">
      <c r="B18" s="15" t="inlineStr">
        <is>
          <t>Oak &amp; Pine Co.</t>
        </is>
      </c>
      <c r="C18" s="15" t="inlineStr">
        <is>
          <t>Advanced</t>
        </is>
      </c>
      <c r="D18" s="37" t="n">
        <v>12</v>
      </c>
      <c r="E18" s="37">
        <f>D18/4</f>
        <v/>
      </c>
      <c r="F18" s="16" t="inlineStr"/>
    </row>
    <row r="19" ht="20" customHeight="1">
      <c r="B19" s="12" t="inlineStr">
        <is>
          <t>[Client Name]</t>
        </is>
      </c>
      <c r="C19" s="12" t="inlineStr">
        <is>
          <t>Essentials</t>
        </is>
      </c>
      <c r="D19" s="36" t="n">
        <v>5</v>
      </c>
      <c r="E19" s="36">
        <f>D19/4</f>
        <v/>
      </c>
      <c r="F19" s="13" t="inlineStr"/>
    </row>
    <row r="21" ht="22" customHeight="1">
      <c r="B21" s="20" t="inlineStr">
        <is>
          <t>TOTAL COMMITTED HOURS / WEEK</t>
        </is>
      </c>
      <c r="E21" s="38">
        <f>SUM(E17:E20)</f>
        <v/>
      </c>
    </row>
  </sheetData>
  <mergeCells count="15">
    <mergeCell ref="B7:P7"/>
    <mergeCell ref="B12:F12"/>
    <mergeCell ref="G10:I10"/>
    <mergeCell ref="G11:I11"/>
    <mergeCell ref="B10:F10"/>
    <mergeCell ref="B3:P3"/>
    <mergeCell ref="B11:F11"/>
    <mergeCell ref="B14:P14"/>
    <mergeCell ref="C2:P2"/>
    <mergeCell ref="G9:I9"/>
    <mergeCell ref="A2:A3"/>
    <mergeCell ref="G12:I12"/>
    <mergeCell ref="B21:D21"/>
    <mergeCell ref="B9:F9"/>
    <mergeCell ref="A4:R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F172A"/>
    <outlinePr summaryBelow="1" summaryRight="1"/>
    <pageSetUpPr/>
  </sheetPr>
  <dimension ref="A2:T23"/>
  <sheetViews>
    <sheetView showGridLines="0" zoomScale="95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 ht="14" customHeight="1"/>
    <row r="2" ht="44" customHeight="1">
      <c r="A2" s="39" t="inlineStr">
        <is>
          <t>BOOKKEEPER PRACTICE DASHBOARD</t>
        </is>
      </c>
    </row>
    <row r="3" ht="16" customHeight="1">
      <c r="A3" s="40" t="inlineStr">
        <is>
          <t>v2.0   ·   Consulting Edition   ·   Live data from all sheets</t>
        </is>
      </c>
    </row>
    <row r="4" ht="4" customHeight="1">
      <c r="A4" s="1" t="inlineStr"/>
    </row>
    <row r="5" ht="12" customHeight="1"/>
    <row r="6" ht="13" customHeight="1">
      <c r="A6" s="41" t="inlineStr">
        <is>
          <t>ACTIVE CLIENTS</t>
        </is>
      </c>
      <c r="B6" s="8" t="n"/>
      <c r="C6" s="9" t="n"/>
      <c r="D6" s="41" t="inlineStr">
        <is>
          <t>MONTHLY RECURRING REVENUE</t>
        </is>
      </c>
      <c r="E6" s="8" t="n"/>
      <c r="F6" s="9" t="n"/>
      <c r="G6" s="41" t="inlineStr">
        <is>
          <t>OPEN PIPELINE VALUE</t>
        </is>
      </c>
      <c r="H6" s="8" t="n"/>
      <c r="I6" s="9" t="n"/>
      <c r="J6" s="41" t="inlineStr">
        <is>
          <t>ACTIVE LEADS</t>
        </is>
      </c>
      <c r="K6" s="8" t="n"/>
      <c r="L6" s="9" t="n"/>
      <c r="M6" s="41" t="inlineStr">
        <is>
          <t>TOTAL INVOICED (YTD)</t>
        </is>
      </c>
      <c r="N6" s="8" t="n"/>
      <c r="O6" s="9" t="n"/>
      <c r="P6" s="41" t="inlineStr">
        <is>
          <t>CLOSES IN PROGRESS</t>
        </is>
      </c>
      <c r="Q6" s="8" t="n"/>
      <c r="R6" s="9" t="n"/>
    </row>
    <row r="7" ht="30" customHeight="1">
      <c r="A7" s="42">
        <f>COUNTIF('Client CRM'!C:C,"Active")</f>
        <v/>
      </c>
      <c r="B7" s="8" t="n"/>
      <c r="C7" s="9" t="n"/>
      <c r="D7" s="43">
        <f>SUMIF('Client CRM'!C:C,"Active",'Client CRM'!F:F)</f>
        <v/>
      </c>
      <c r="E7" s="8" t="n"/>
      <c r="F7" s="9" t="n"/>
      <c r="G7" s="44">
        <f>SUMIF('Lead Pipeline'!D:D,"&lt;&gt;Closed Lost",'Lead Pipeline'!F:F)</f>
        <v/>
      </c>
      <c r="H7" s="8" t="n"/>
      <c r="I7" s="9" t="n"/>
      <c r="J7" s="45">
        <f>COUNTIF('Lead Pipeline'!D:D,"&lt;&gt;Closed Lost")-COUNTIF('Lead Pipeline'!D:D,"Closed Won")</f>
        <v/>
      </c>
      <c r="K7" s="8" t="n"/>
      <c r="L7" s="9" t="n"/>
      <c r="M7" s="43">
        <f>SUMIF('Invoice Tracker'!G:G,"&lt;&gt;Void",'Invoice Tracker'!F:F)</f>
        <v/>
      </c>
      <c r="N7" s="8" t="n"/>
      <c r="O7" s="9" t="n"/>
      <c r="P7" s="42">
        <f>COUNTIF('Monthly Close'!D:D,"In Progress")</f>
        <v/>
      </c>
      <c r="Q7" s="8" t="n"/>
      <c r="R7" s="9" t="n"/>
    </row>
    <row r="8" ht="13" customHeight="1">
      <c r="A8" s="46" t="inlineStr">
        <is>
          <t>from Client CRM</t>
        </is>
      </c>
      <c r="B8" s="8" t="n"/>
      <c r="C8" s="9" t="n"/>
      <c r="D8" s="46" t="inlineStr">
        <is>
          <t>total active fees</t>
        </is>
      </c>
      <c r="E8" s="8" t="n"/>
      <c r="F8" s="9" t="n"/>
      <c r="G8" s="46" t="inlineStr">
        <is>
          <t>est. monthly from leads</t>
        </is>
      </c>
      <c r="H8" s="8" t="n"/>
      <c r="I8" s="9" t="n"/>
      <c r="J8" s="46" t="inlineStr">
        <is>
          <t>in pipeline</t>
        </is>
      </c>
      <c r="K8" s="8" t="n"/>
      <c r="L8" s="9" t="n"/>
      <c r="M8" s="46" t="inlineStr">
        <is>
          <t>all non-void invoices</t>
        </is>
      </c>
      <c r="N8" s="8" t="n"/>
      <c r="O8" s="9" t="n"/>
      <c r="P8" s="46" t="inlineStr">
        <is>
          <t>this month</t>
        </is>
      </c>
      <c r="Q8" s="8" t="n"/>
      <c r="R8" s="9" t="n"/>
    </row>
    <row r="9" ht="4" customHeight="1">
      <c r="A9" s="47" t="n"/>
      <c r="B9" s="47" t="n"/>
      <c r="C9" s="47" t="n"/>
      <c r="D9" s="47" t="n"/>
      <c r="E9" s="47" t="n"/>
      <c r="F9" s="47" t="n"/>
      <c r="G9" s="48" t="n"/>
      <c r="H9" s="48" t="n"/>
      <c r="I9" s="48" t="n"/>
      <c r="J9" s="48" t="n"/>
      <c r="K9" s="48" t="n"/>
      <c r="L9" s="48" t="n"/>
      <c r="M9" s="47" t="n"/>
      <c r="N9" s="47" t="n"/>
      <c r="O9" s="47" t="n"/>
      <c r="P9" s="47" t="n"/>
      <c r="Q9" s="47" t="n"/>
      <c r="R9" s="47" t="n"/>
    </row>
    <row r="12" ht="8" customHeight="1"/>
    <row r="13" ht="18" customHeight="1">
      <c r="A13" s="49" t="inlineStr">
        <is>
          <t>01 — ACTIVE CLIENT SNAPSHOT</t>
        </is>
      </c>
    </row>
    <row r="14" ht="18" customHeight="1">
      <c r="A14" s="11" t="inlineStr">
        <is>
          <t>Client</t>
        </is>
      </c>
      <c r="C14" s="11" t="inlineStr">
        <is>
          <t>Package</t>
        </is>
      </c>
      <c r="E14" s="11" t="inlineStr">
        <is>
          <t>Fee (€)</t>
        </is>
      </c>
      <c r="G14" s="11" t="inlineStr">
        <is>
          <t>Close Day</t>
        </is>
      </c>
      <c r="I14" s="11" t="inlineStr">
        <is>
          <t>Contact</t>
        </is>
      </c>
      <c r="K14" s="11" t="inlineStr">
        <is>
          <t>Software</t>
        </is>
      </c>
    </row>
    <row r="15" ht="16" customHeight="1">
      <c r="A15" s="12">
        <f>IFERROR(INDEX('Client CRM'!B:B,MATCH("Active",'Client CRM'!C:C,0)+0),"")</f>
        <v/>
      </c>
      <c r="B15" s="9" t="n"/>
      <c r="C15" s="12">
        <f>IFERROR(INDEX('Client CRM'!L:L,MATCH("Active",'Client CRM'!C:C,0)+0),"")</f>
        <v/>
      </c>
      <c r="D15" s="9" t="n"/>
      <c r="E15" s="12">
        <f>IFERROR(INDEX('Client CRM'!F:F,MATCH("Active",'Client CRM'!C:C,0)+0),"")</f>
        <v/>
      </c>
      <c r="F15" s="9" t="n"/>
      <c r="G15" s="12">
        <f>IFERROR(INDEX('Client CRM'!G:G,MATCH("Active",'Client CRM'!C:C,0)+0),"")</f>
        <v/>
      </c>
      <c r="H15" s="9" t="n"/>
      <c r="I15" s="12">
        <f>IFERROR(INDEX('Client CRM'!H:H,MATCH("Active",'Client CRM'!C:C,0)+0),"")</f>
        <v/>
      </c>
      <c r="J15" s="9" t="n"/>
      <c r="K15" s="12">
        <f>IFERROR(INDEX('Client CRM'!E:E,MATCH("Active",'Client CRM'!C:C,0)+0),"")</f>
        <v/>
      </c>
      <c r="L15" s="9" t="n"/>
    </row>
    <row r="16" ht="16" customHeight="1">
      <c r="A16" s="15">
        <f>IFERROR(INDEX('Client CRM'!B:B,MATCH("Active",'Client CRM'!C:C,0)+1),"")</f>
        <v/>
      </c>
      <c r="B16" s="9" t="n"/>
      <c r="C16" s="15">
        <f>IFERROR(INDEX('Client CRM'!L:L,MATCH("Active",'Client CRM'!C:C,0)+1),"")</f>
        <v/>
      </c>
      <c r="D16" s="9" t="n"/>
      <c r="E16" s="15">
        <f>IFERROR(INDEX('Client CRM'!F:F,MATCH("Active",'Client CRM'!C:C,0)+1),"")</f>
        <v/>
      </c>
      <c r="F16" s="9" t="n"/>
      <c r="G16" s="15">
        <f>IFERROR(INDEX('Client CRM'!G:G,MATCH("Active",'Client CRM'!C:C,0)+1),"")</f>
        <v/>
      </c>
      <c r="H16" s="9" t="n"/>
      <c r="I16" s="15">
        <f>IFERROR(INDEX('Client CRM'!H:H,MATCH("Active",'Client CRM'!C:C,0)+1),"")</f>
        <v/>
      </c>
      <c r="J16" s="9" t="n"/>
      <c r="K16" s="15">
        <f>IFERROR(INDEX('Client CRM'!E:E,MATCH("Active",'Client CRM'!C:C,0)+1),"")</f>
        <v/>
      </c>
      <c r="L16" s="9" t="n"/>
    </row>
    <row r="17" ht="16" customHeight="1">
      <c r="A17" s="12">
        <f>IFERROR(INDEX('Client CRM'!B:B,MATCH("Active",'Client CRM'!C:C,0)+2),"")</f>
        <v/>
      </c>
      <c r="B17" s="9" t="n"/>
      <c r="C17" s="12">
        <f>IFERROR(INDEX('Client CRM'!L:L,MATCH("Active",'Client CRM'!C:C,0)+2),"")</f>
        <v/>
      </c>
      <c r="D17" s="9" t="n"/>
      <c r="E17" s="12">
        <f>IFERROR(INDEX('Client CRM'!F:F,MATCH("Active",'Client CRM'!C:C,0)+2),"")</f>
        <v/>
      </c>
      <c r="F17" s="9" t="n"/>
      <c r="G17" s="12">
        <f>IFERROR(INDEX('Client CRM'!G:G,MATCH("Active",'Client CRM'!C:C,0)+2),"")</f>
        <v/>
      </c>
      <c r="H17" s="9" t="n"/>
      <c r="I17" s="12">
        <f>IFERROR(INDEX('Client CRM'!H:H,MATCH("Active",'Client CRM'!C:C,0)+2),"")</f>
        <v/>
      </c>
      <c r="J17" s="9" t="n"/>
      <c r="K17" s="12">
        <f>IFERROR(INDEX('Client CRM'!E:E,MATCH("Active",'Client CRM'!C:C,0)+2),"")</f>
        <v/>
      </c>
      <c r="L17" s="9" t="n"/>
    </row>
    <row r="18" ht="8" customHeight="1"/>
    <row r="19" ht="18" customHeight="1">
      <c r="A19" s="49" t="inlineStr">
        <is>
          <t>02 — MONTHLY CLOSE STATUS — CURRENT PERIOD</t>
        </is>
      </c>
    </row>
    <row r="20" ht="18" customHeight="1">
      <c r="A20" s="11" t="inlineStr">
        <is>
          <t>Client</t>
        </is>
      </c>
      <c r="C20" s="11" t="inlineStr">
        <is>
          <t>Status</t>
        </is>
      </c>
      <c r="E20" s="11" t="inlineStr">
        <is>
          <t>Bank Rec</t>
        </is>
      </c>
      <c r="G20" s="11" t="inlineStr">
        <is>
          <t>Reports Delivered</t>
        </is>
      </c>
      <c r="I20" s="11" t="inlineStr">
        <is>
          <t>Due Date</t>
        </is>
      </c>
      <c r="K20" s="11" t="inlineStr">
        <is>
          <t>Owner</t>
        </is>
      </c>
    </row>
    <row r="21" ht="16" customHeight="1">
      <c r="A21" s="12">
        <f>IFERROR(INDEX('Monthly Close'!C:C,1+1),"")</f>
        <v/>
      </c>
      <c r="B21" s="9" t="n"/>
      <c r="C21" s="12">
        <f>IFERROR(INDEX('Monthly Close'!D:D,1+1),"")</f>
        <v/>
      </c>
      <c r="D21" s="9" t="n"/>
      <c r="E21" s="12">
        <f>IFERROR(INDEX('Monthly Close'!F:F,1+1),"")</f>
        <v/>
      </c>
      <c r="F21" s="9" t="n"/>
      <c r="G21" s="12">
        <f>IFERROR(INDEX('Monthly Close'!J:J,1+1),"")</f>
        <v/>
      </c>
      <c r="H21" s="9" t="n"/>
      <c r="I21" s="12">
        <f>IFERROR(INDEX('Monthly Close'!K:K,1+1),"")</f>
        <v/>
      </c>
      <c r="J21" s="9" t="n"/>
      <c r="K21" s="12">
        <f>IFERROR(INDEX('Monthly Close'!E:E,1+1),"")</f>
        <v/>
      </c>
      <c r="L21" s="9" t="n"/>
    </row>
    <row r="22" ht="16" customHeight="1">
      <c r="A22" s="15">
        <f>IFERROR(INDEX('Monthly Close'!C:C,2+1),"")</f>
        <v/>
      </c>
      <c r="B22" s="9" t="n"/>
      <c r="C22" s="15">
        <f>IFERROR(INDEX('Monthly Close'!D:D,2+1),"")</f>
        <v/>
      </c>
      <c r="D22" s="9" t="n"/>
      <c r="E22" s="15">
        <f>IFERROR(INDEX('Monthly Close'!F:F,2+1),"")</f>
        <v/>
      </c>
      <c r="F22" s="9" t="n"/>
      <c r="G22" s="15">
        <f>IFERROR(INDEX('Monthly Close'!J:J,2+1),"")</f>
        <v/>
      </c>
      <c r="H22" s="9" t="n"/>
      <c r="I22" s="15">
        <f>IFERROR(INDEX('Monthly Close'!K:K,2+1),"")</f>
        <v/>
      </c>
      <c r="J22" s="9" t="n"/>
      <c r="K22" s="15">
        <f>IFERROR(INDEX('Monthly Close'!E:E,2+1),"")</f>
        <v/>
      </c>
      <c r="L22" s="9" t="n"/>
    </row>
    <row r="23" ht="16" customHeight="1">
      <c r="A23" s="12">
        <f>IFERROR(INDEX('Monthly Close'!C:C,3+1),"")</f>
        <v/>
      </c>
      <c r="B23" s="9" t="n"/>
      <c r="C23" s="12">
        <f>IFERROR(INDEX('Monthly Close'!D:D,3+1),"")</f>
        <v/>
      </c>
      <c r="D23" s="9" t="n"/>
      <c r="E23" s="12">
        <f>IFERROR(INDEX('Monthly Close'!F:F,3+1),"")</f>
        <v/>
      </c>
      <c r="F23" s="9" t="n"/>
      <c r="G23" s="12">
        <f>IFERROR(INDEX('Monthly Close'!J:J,3+1),"")</f>
        <v/>
      </c>
      <c r="H23" s="9" t="n"/>
      <c r="I23" s="12">
        <f>IFERROR(INDEX('Monthly Close'!K:K,3+1),"")</f>
        <v/>
      </c>
      <c r="J23" s="9" t="n"/>
      <c r="K23" s="12">
        <f>IFERROR(INDEX('Monthly Close'!E:E,3+1),"")</f>
        <v/>
      </c>
      <c r="L23" s="9" t="n"/>
    </row>
  </sheetData>
  <mergeCells count="59">
    <mergeCell ref="K16:L16"/>
    <mergeCell ref="G21:H21"/>
    <mergeCell ref="J6:L6"/>
    <mergeCell ref="A15:B15"/>
    <mergeCell ref="P8:R8"/>
    <mergeCell ref="G6:I6"/>
    <mergeCell ref="C15:D15"/>
    <mergeCell ref="I15:J15"/>
    <mergeCell ref="K15:L15"/>
    <mergeCell ref="E23:F23"/>
    <mergeCell ref="M7:O7"/>
    <mergeCell ref="G23:H23"/>
    <mergeCell ref="D7:F7"/>
    <mergeCell ref="E17:F17"/>
    <mergeCell ref="M6:O6"/>
    <mergeCell ref="G17:H17"/>
    <mergeCell ref="K21:L21"/>
    <mergeCell ref="J7:L7"/>
    <mergeCell ref="P7:R7"/>
    <mergeCell ref="A16:B16"/>
    <mergeCell ref="C16:D16"/>
    <mergeCell ref="I16:J16"/>
    <mergeCell ref="A8:C8"/>
    <mergeCell ref="M8:O8"/>
    <mergeCell ref="C22:D22"/>
    <mergeCell ref="I22:J22"/>
    <mergeCell ref="D8:F8"/>
    <mergeCell ref="K22:L22"/>
    <mergeCell ref="I21:J21"/>
    <mergeCell ref="A21:B21"/>
    <mergeCell ref="C21:D21"/>
    <mergeCell ref="E15:F15"/>
    <mergeCell ref="A19:L19"/>
    <mergeCell ref="G15:H15"/>
    <mergeCell ref="A3:T3"/>
    <mergeCell ref="A13:L13"/>
    <mergeCell ref="J8:L8"/>
    <mergeCell ref="I23:J23"/>
    <mergeCell ref="A2:T2"/>
    <mergeCell ref="A17:B17"/>
    <mergeCell ref="A23:B23"/>
    <mergeCell ref="K23:L23"/>
    <mergeCell ref="C17:D17"/>
    <mergeCell ref="I17:J17"/>
    <mergeCell ref="C23:D23"/>
    <mergeCell ref="A22:B22"/>
    <mergeCell ref="K17:L17"/>
    <mergeCell ref="E16:F16"/>
    <mergeCell ref="G16:H16"/>
    <mergeCell ref="A4:T4"/>
    <mergeCell ref="A6:C6"/>
    <mergeCell ref="D6:F6"/>
    <mergeCell ref="G8:I8"/>
    <mergeCell ref="E22:F22"/>
    <mergeCell ref="G22:H22"/>
    <mergeCell ref="A7:C7"/>
    <mergeCell ref="G7:I7"/>
    <mergeCell ref="P6:R6"/>
    <mergeCell ref="E21:F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R27"/>
  <sheetViews>
    <sheetView showGridLines="0" zoomScale="95" workbookViewId="0">
      <selection activeCell="A1" sqref="A1"/>
    </sheetView>
  </sheetViews>
  <sheetFormatPr baseColWidth="8" defaultRowHeight="15"/>
  <cols>
    <col width="1.5" customWidth="1" min="1" max="1"/>
  </cols>
  <sheetData>
    <row r="1" ht="10" customHeight="1"/>
    <row r="2" ht="22" customHeight="1">
      <c r="A2" s="1" t="inlineStr"/>
      <c r="B2" s="2" t="inlineStr">
        <is>
          <t>09</t>
        </is>
      </c>
      <c r="C2" s="3" t="inlineStr">
        <is>
          <t>— INSTRUCTIONS</t>
        </is>
      </c>
    </row>
    <row r="3" ht="16" customHeight="1">
      <c r="B3" s="4" t="inlineStr">
        <is>
          <t>How to use every sheet in this dashboard</t>
        </is>
      </c>
    </row>
    <row r="4" ht="3" customHeight="1">
      <c r="A4" s="1" t="inlineStr"/>
    </row>
    <row r="5" ht="8" customHeight="1"/>
    <row r="6" ht="36" customHeight="1">
      <c r="B6" s="50" t="inlineStr">
        <is>
          <t>01 — SETUP</t>
        </is>
      </c>
      <c r="C6" s="28" t="n"/>
      <c r="D6" s="29" t="n"/>
      <c r="E6" s="51" t="inlineStr">
        <is>
          <t>Fill in the amber cells only. White cells contain formulas that reference Setup data — do not edit them. Changes to Practice Name and pricing cascade to the Pricing Calculator.</t>
        </is>
      </c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9" t="n"/>
    </row>
    <row r="7" ht="4" customHeight="1"/>
    <row r="8" ht="36" customHeight="1">
      <c r="B8" s="50" t="inlineStr">
        <is>
          <t>02 — CLIENT CRM</t>
        </is>
      </c>
      <c r="C8" s="28" t="n"/>
      <c r="D8" s="29" t="n"/>
      <c r="E8" s="51" t="inlineStr">
        <is>
          <t>Add one row per client. The Status column (Active/Churned/On Hold) drives the Dashboard KPIs. Use the Package dropdown to match your service tiers. The MRR formula at the bottom sums only Active clients.</t>
        </is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9" t="n"/>
    </row>
    <row r="9" ht="4" customHeight="1"/>
    <row r="10" ht="36" customHeight="1">
      <c r="B10" s="50" t="inlineStr">
        <is>
          <t>03 — LEAD PIPELINE</t>
        </is>
      </c>
      <c r="C10" s="28" t="n"/>
      <c r="D10" s="29" t="n"/>
      <c r="E10" s="51" t="inlineStr">
        <is>
          <t>Add a row for each prospect. The Pipeline Value at the bottom sums all leads not marked Closed Lost. Move Stage through the dropdown — from New Inquiry to Closed Won.</t>
        </is>
      </c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9" t="n"/>
    </row>
    <row r="11" ht="4" customHeight="1"/>
    <row r="12" ht="36" customHeight="1">
      <c r="B12" s="50" t="inlineStr">
        <is>
          <t>04 — PRICING CALCULATOR</t>
        </is>
      </c>
      <c r="C12" s="28" t="n"/>
      <c r="D12" s="29" t="n"/>
      <c r="E12" s="51" t="inlineStr">
        <is>
          <t>Enter the prospect's details in the amber cells. The calculator produces a recommended monthly fee and cleanup estimate. Use it during diagnostic calls.</t>
        </is>
      </c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9" t="n"/>
    </row>
    <row r="13" ht="4" customHeight="1"/>
    <row r="14" ht="36" customHeight="1">
      <c r="B14" s="50" t="inlineStr">
        <is>
          <t>05 — MONTHLY CLOSE</t>
        </is>
      </c>
      <c r="C14" s="28" t="n"/>
      <c r="D14" s="29" t="n"/>
      <c r="E14" s="51" t="inlineStr">
        <is>
          <t>Add one row per client per period (e.g., "2026-07"). Use the Status and checkbox dropdowns (Yes/No) to track progress. Conditional formatting turns cells teal when complete.</t>
        </is>
      </c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9" t="n"/>
    </row>
    <row r="15" ht="4" customHeight="1"/>
    <row r="16" ht="36" customHeight="1">
      <c r="B16" s="50" t="inlineStr">
        <is>
          <t>06 — INVOICE TRACKER</t>
        </is>
      </c>
      <c r="C16" s="28" t="n"/>
      <c r="D16" s="29" t="n"/>
      <c r="E16" s="51" t="inlineStr">
        <is>
          <t>Add one row per invoice. Status drives the Outstanding balance formula at the bottom. Mark Paid invoices with the payment date. Overdue rows turn red automatically.</t>
        </is>
      </c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9" t="n"/>
    </row>
    <row r="17" ht="4" customHeight="1"/>
    <row r="18" ht="36" customHeight="1">
      <c r="B18" s="50" t="inlineStr">
        <is>
          <t>07 — TAX DOCUMENTS</t>
        </is>
      </c>
      <c r="C18" s="28" t="n"/>
      <c r="D18" s="29" t="n"/>
      <c r="E18" s="51" t="inlineStr">
        <is>
          <t>Use this sheet at year-end. One row per client per fiscal year. Track document collection across all categories. Mark items N/A if they do not apply to that client.</t>
        </is>
      </c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9" t="n"/>
    </row>
    <row r="19" ht="4" customHeight="1"/>
    <row r="20" ht="36" customHeight="1">
      <c r="B20" s="50" t="inlineStr">
        <is>
          <t>08 — CAPACITY PLANNER</t>
        </is>
      </c>
      <c r="C20" s="28" t="n"/>
      <c r="D20" s="29" t="n"/>
      <c r="E20" s="51" t="inlineStr">
        <is>
          <t>Enter your weekly available hours and admin time. Add one row per client with their average monthly hours. The sheet shows whether you are over or under capacity.</t>
        </is>
      </c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9" t="n"/>
    </row>
    <row r="21" ht="4" customHeight="1"/>
    <row r="22" ht="36" customHeight="1">
      <c r="B22" s="50" t="inlineStr">
        <is>
          <t>09 — DASHBOARD</t>
        </is>
      </c>
      <c r="C22" s="28" t="n"/>
      <c r="D22" s="29" t="n"/>
      <c r="E22" s="51" t="inlineStr">
        <is>
          <t>This sheet auto-populates from all other sheets. Do not enter data here directly. KPI cards show active clients, MRR, pipeline value, and close status in real time.</t>
        </is>
      </c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9" t="n"/>
    </row>
    <row r="23" ht="4" customHeight="1"/>
    <row r="24" ht="36" customHeight="1">
      <c r="B24" s="50" t="inlineStr">
        <is>
          <t>10 — INSTRUCTIONS</t>
        </is>
      </c>
      <c r="C24" s="28" t="n"/>
      <c r="D24" s="29" t="n"/>
      <c r="E24" s="51" t="inlineStr">
        <is>
          <t>This sheet. Reference it anytime you are unsure about a feature.</t>
        </is>
      </c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9" t="n"/>
    </row>
    <row r="25" ht="4" customHeight="1"/>
    <row r="27" ht="30" customHeight="1">
      <c r="B27" s="52" t="inlineStr">
        <is>
          <t>TIP: Only edit cells with amber background. Never edit cells with teal or dark backgrounds — those contain formulas or are read-only display areas.</t>
        </is>
      </c>
    </row>
  </sheetData>
  <mergeCells count="25">
    <mergeCell ref="E20:P20"/>
    <mergeCell ref="B14:D14"/>
    <mergeCell ref="E10:P10"/>
    <mergeCell ref="B8:D8"/>
    <mergeCell ref="B10:D10"/>
    <mergeCell ref="E6:P6"/>
    <mergeCell ref="A2:A3"/>
    <mergeCell ref="B6:D6"/>
    <mergeCell ref="B24:D24"/>
    <mergeCell ref="B20:D20"/>
    <mergeCell ref="A4:R4"/>
    <mergeCell ref="E16:P16"/>
    <mergeCell ref="C2:P2"/>
    <mergeCell ref="E22:P22"/>
    <mergeCell ref="E18:P18"/>
    <mergeCell ref="B16:D16"/>
    <mergeCell ref="E12:P12"/>
    <mergeCell ref="E24:P24"/>
    <mergeCell ref="B22:D22"/>
    <mergeCell ref="B3:P3"/>
    <mergeCell ref="B18:D18"/>
    <mergeCell ref="E8:P8"/>
    <mergeCell ref="E14:P14"/>
    <mergeCell ref="B27:P27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2026-06-25T13:53:05Z</dcterms:created>
  <dcterms:modified xmlns:dcterms="http://purl.org/dc/terms/" xmlns:xsi="http://www.w3.org/2001/XMLSchema-instance" xsi:type="dcterms:W3CDTF">2026-06-25T13:53:05Z</dcterms:modified>
</cp:coreProperties>
</file>