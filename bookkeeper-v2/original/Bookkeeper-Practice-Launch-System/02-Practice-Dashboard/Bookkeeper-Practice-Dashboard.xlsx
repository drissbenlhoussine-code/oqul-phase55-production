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95ea9fee8440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9cac8da172d346d9"/>
    <x:sheet xmlns:r="http://schemas.openxmlformats.org/officeDocument/2006/relationships" name="Client CRM" sheetId="2" r:id="R1c18214c53104d5e"/>
    <x:sheet xmlns:r="http://schemas.openxmlformats.org/officeDocument/2006/relationships" name="Lead Pipeline" sheetId="3" r:id="R2d9731e95d6244ef"/>
    <x:sheet xmlns:r="http://schemas.openxmlformats.org/officeDocument/2006/relationships" name="Pricing Calculator" sheetId="4" r:id="R6bfd11f374da42a7"/>
    <x:sheet xmlns:r="http://schemas.openxmlformats.org/officeDocument/2006/relationships" name="Monthly Close" sheetId="5" r:id="Rb94b2118c34d4e61"/>
    <x:sheet xmlns:r="http://schemas.openxmlformats.org/officeDocument/2006/relationships" name="Invoice Tracker" sheetId="6" r:id="Ra91c9566e4af480b"/>
    <x:sheet xmlns:r="http://schemas.openxmlformats.org/officeDocument/2006/relationships" name="Tax Documents" sheetId="7" r:id="R1ae9af11c810432c"/>
    <x:sheet xmlns:r="http://schemas.openxmlformats.org/officeDocument/2006/relationships" name="Capacity" sheetId="8" r:id="R06a9d3f7126c4cf6"/>
    <x:sheet xmlns:r="http://schemas.openxmlformats.org/officeDocument/2006/relationships" name="Dashboard" sheetId="9" r:id="Rbf73757e0e84430a"/>
    <x:sheet xmlns:r="http://schemas.openxmlformats.org/officeDocument/2006/relationships" name="Instructions" sheetId="10" r:id="R0c871a452c8441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€&quot;#,##0"/>
    <x:numFmt numFmtId="201" formatCode="0%"/>
    <x:numFmt numFmtId="202" formatCode="yyyy-mm-dd"/>
  </x:numFmts>
  <x:fonts count="6">
    <x:font>
      <x:sz val="11"/>
      <x:name val="Carlito"/>
    </x:font>
    <x:font>
      <x:b/>
      <x:sz val="20"/>
      <x:color rgb="FFFFFFFF"/>
      <x:name val="Carlito"/>
    </x:font>
    <x:font>
      <x:i/>
      <x:sz val="11"/>
      <x:color rgb="FF66788A"/>
      <x:name val="Carlito"/>
    </x:font>
    <x:font>
      <x:b/>
      <x:sz val="11"/>
      <x:color rgb="FFFFFFFF"/>
      <x:name val="Carlito"/>
    </x:font>
    <x:font>
      <x:sz val="10"/>
      <x:color rgb="FF243447"/>
      <x:name val="Carlito"/>
    </x:font>
    <x:font>
      <x:b/>
      <x:sz val="22"/>
      <x:color rgb="FF17324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9F7F5"/>
      </x:patternFill>
    </x:fill>
    <x:fill>
      <x:patternFill patternType="solid">
        <x:fgColor rgb="FF1AA39A"/>
      </x:patternFill>
    </x:fill>
    <x:fill>
      <x:patternFill patternType="solid">
        <x:fgColor rgb="FFFFF2C7"/>
      </x:patternFill>
    </x:fill>
  </x:fills>
  <x:borders count="8">
    <x:border/>
    <x:border>
      <x:bottom style="thin">
        <x:color rgb="FFD8E0E8"/>
      </x:bottom>
    </x:border>
    <x:border>
      <x:top style="thin">
        <x:color rgb="FFD8E0E8"/>
      </x:top>
      <x:bottom style="thin">
        <x:color rgb="FFD8E0E8"/>
      </x:bottom>
    </x:border>
    <x:border>
      <x:top style="thin">
        <x:color rgb="FFD8E0E8"/>
      </x:top>
    </x:border>
    <x:border>
      <x:left style="thin">
        <x:color rgb="FFD8E0E8"/>
      </x:left>
      <x:top style="thin">
        <x:color rgb="FFD8E0E8"/>
      </x:top>
    </x:border>
    <x:border>
      <x:right style="thin">
        <x:color rgb="FFD8E0E8"/>
      </x:right>
      <x:top style="thin">
        <x:color rgb="FFD8E0E8"/>
      </x:top>
    </x:border>
    <x:border>
      <x:left style="thin">
        <x:color rgb="FFD8E0E8"/>
      </x:left>
      <x:bottom style="thin">
        <x:color rgb="FFD8E0E8"/>
      </x:bottom>
    </x:border>
    <x:border>
      <x:right style="thin">
        <x:color rgb="FFD8E0E8"/>
      </x:right>
      <x:bottom style="thin">
        <x:color rgb="FFD8E0E8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4" fillId="5" borderId="3" xfId="0" applyNumberFormat="1" applyFont="1" applyFill="1" applyBorder="1" applyAlignment="1">
      <x:alignment vertical="center"/>
    </x:xf>
    <x:xf numFmtId="200" fontId="4" fillId="5" borderId="2" xfId="0" applyNumberFormat="1" applyFont="1" applyFill="1" applyBorder="1" applyAlignment="1">
      <x:alignment vertical="center"/>
    </x:xf>
    <x:xf numFmtId="201" fontId="4" fillId="5" borderId="2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202" fontId="4" fillId="0" borderId="1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2" fontId="4" fillId="0" borderId="3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200" fontId="4" fillId="5" borderId="3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/>
    <x:xf numFmtId="0" fontId="5" fillId="3" borderId="4" xfId="0" applyNumberFormat="1" applyFont="1" applyFill="1" applyBorder="1"/>
    <x:xf numFmtId="0" fontId="5" fillId="3" borderId="3" xfId="0" applyNumberFormat="1" applyFont="1" applyFill="1" applyBorder="1"/>
    <x:xf numFmtId="0" fontId="5" fillId="3" borderId="5" xfId="0" applyNumberFormat="1" applyFont="1" applyFill="1" applyBorder="1"/>
    <x:xf numFmtId="0" fontId="5" fillId="3" borderId="6" xfId="0" applyNumberFormat="1" applyFont="1" applyFill="1" applyBorder="1"/>
    <x:xf numFmtId="0" fontId="5" fillId="3" borderId="1" xfId="0" applyNumberFormat="1" applyFont="1" applyFill="1" applyBorder="1"/>
    <x:xf numFmtId="0" fontId="5" fillId="3" borderId="7" xfId="0" applyNumberFormat="1" applyFont="1" applyFill="1" applyBorder="1"/>
    <x:xf numFmtId="0" fontId="5" fillId="3" borderId="4" xfId="0" applyNumberFormat="1" applyFont="1" applyFill="1" applyBorder="1" applyAlignment="1">
      <x:alignment horizontal="center"/>
    </x:xf>
    <x:xf numFmtId="0" fontId="5" fillId="3" borderId="3" xfId="0" applyNumberFormat="1" applyFont="1" applyFill="1" applyBorder="1" applyAlignment="1">
      <x:alignment horizontal="center"/>
    </x:xf>
    <x:xf numFmtId="0" fontId="5" fillId="3" borderId="5" xfId="0" applyNumberFormat="1" applyFont="1" applyFill="1" applyBorder="1" applyAlignment="1">
      <x:alignment horizontal="center"/>
    </x:xf>
    <x:xf numFmtId="0" fontId="5" fillId="3" borderId="6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 applyAlignment="1">
      <x:alignment horizontal="center"/>
    </x:xf>
    <x:xf numFmtId="0" fontId="5" fillId="3" borderId="7" xfId="0" applyNumberFormat="1" applyFont="1" applyFill="1" applyBorder="1" applyAlignment="1">
      <x:alignment horizontal="center"/>
    </x:xf>
    <x:xf numFmtId="0" fontId="5" fillId="3" borderId="4" xfId="0" applyNumberFormat="1" applyFont="1" applyFill="1" applyBorder="1" applyAlignment="1">
      <x:alignment horizontal="center" vertical="center"/>
    </x:xf>
    <x:xf numFmtId="0" fontId="5" fillId="3" borderId="3" xfId="0" applyNumberFormat="1" applyFont="1" applyFill="1" applyBorder="1" applyAlignment="1">
      <x:alignment horizontal="center" vertical="center"/>
    </x:xf>
    <x:xf numFmtId="0" fontId="5" fillId="3" borderId="5" xfId="0" applyNumberFormat="1" applyFont="1" applyFill="1" applyBorder="1" applyAlignment="1">
      <x:alignment horizontal="center" vertical="center"/>
    </x:xf>
    <x:xf numFmtId="0" fontId="5" fillId="3" borderId="6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 applyAlignment="1">
      <x:alignment horizontal="center" vertical="center"/>
    </x:xf>
    <x:xf numFmtId="0" fontId="5" fillId="3" borderId="7" xfId="0" applyNumberFormat="1" applyFont="1" applyFill="1" applyBorder="1" applyAlignment="1">
      <x:alignment horizontal="center" vertical="center"/>
    </x:xf>
    <x:xf numFmtId="200" fontId="5" fillId="3" borderId="4" xfId="0" applyNumberFormat="1" applyFont="1" applyFill="1" applyBorder="1" applyAlignment="1">
      <x:alignment horizontal="center" vertical="center"/>
    </x:xf>
    <x:xf numFmtId="200" fontId="5" fillId="3" borderId="3" xfId="0" applyNumberFormat="1" applyFont="1" applyFill="1" applyBorder="1" applyAlignment="1">
      <x:alignment horizontal="center" vertical="center"/>
    </x:xf>
    <x:xf numFmtId="200" fontId="5" fillId="3" borderId="5" xfId="0" applyNumberFormat="1" applyFont="1" applyFill="1" applyBorder="1" applyAlignment="1">
      <x:alignment horizontal="center" vertical="center"/>
    </x:xf>
    <x:xf numFmtId="200" fontId="5" fillId="3" borderId="6" xfId="0" applyNumberFormat="1" applyFont="1" applyFill="1" applyBorder="1" applyAlignment="1">
      <x:alignment horizontal="center" vertical="center"/>
    </x:xf>
    <x:xf numFmtId="200" fontId="5" fillId="3" borderId="1" xfId="0" applyNumberFormat="1" applyFont="1" applyFill="1" applyBorder="1" applyAlignment="1">
      <x:alignment horizontal="center" vertical="center"/>
    </x:xf>
    <x:xf numFmtId="200" fontId="5" fillId="3" borderId="7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">
    <x:dxf>
      <x:font>
        <x:b/>
        <x:color rgb="FF9B1C1C"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bfd6c8a75a4dab" /><Relationship Type="http://schemas.openxmlformats.org/officeDocument/2006/relationships/theme" Target="/xl/theme/theme1.xml" Id="R72c46110bb4c4537" /><Relationship Type="http://schemas.openxmlformats.org/officeDocument/2006/relationships/sharedStrings" Target="/xl/sharedStrings.xml" Id="Rc275e8f035674161" /><Relationship Type="http://schemas.openxmlformats.org/officeDocument/2006/relationships/worksheet" Target="/xl/worksheets/sheet1.xml" Id="R9cac8da172d346d9" /><Relationship Type="http://schemas.openxmlformats.org/officeDocument/2006/relationships/worksheet" Target="/xl/worksheets/sheet2.xml" Id="R1c18214c53104d5e" /><Relationship Type="http://schemas.openxmlformats.org/officeDocument/2006/relationships/worksheet" Target="/xl/worksheets/sheet3.xml" Id="R2d9731e95d6244ef" /><Relationship Type="http://schemas.openxmlformats.org/officeDocument/2006/relationships/worksheet" Target="/xl/worksheets/sheet4.xml" Id="R6bfd11f374da42a7" /><Relationship Type="http://schemas.openxmlformats.org/officeDocument/2006/relationships/worksheet" Target="/xl/worksheets/sheet5.xml" Id="Rb94b2118c34d4e61" /><Relationship Type="http://schemas.openxmlformats.org/officeDocument/2006/relationships/worksheet" Target="/xl/worksheets/sheet6.xml" Id="Ra91c9566e4af480b" /><Relationship Type="http://schemas.openxmlformats.org/officeDocument/2006/relationships/worksheet" Target="/xl/worksheets/sheet7.xml" Id="R1ae9af11c810432c" /><Relationship Type="http://schemas.openxmlformats.org/officeDocument/2006/relationships/worksheet" Target="/xl/worksheets/sheet8.xml" Id="R06a9d3f7126c4cf6" /><Relationship Type="http://schemas.openxmlformats.org/officeDocument/2006/relationships/worksheet" Target="/xl/worksheets/sheet9.xml" Id="Rbf73757e0e84430a" /><Relationship Type="http://schemas.openxmlformats.org/officeDocument/2006/relationships/worksheet" Target="/xl/worksheets/sheet10.xml" Id="R0c871a452c84412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2d1448408504cda" /><Relationship Type="http://schemas.openxmlformats.org/officeDocument/2006/relationships/chart" Target="/xl/drawings/charts/chart2.xml" Id="Rcc9baef98ea04cf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Close Status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'Dashboard'!$A$10:$A$16</c:f>
              <c:strCache>
                <c:ptCount val="0"/>
              </c:strCache>
            </c:strRef>
          </c:cat>
          <c:val>
            <c:numRef>
              <c:f>'Dashboard'!$B$10:$B$16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2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Invoice Status</a:t>
            </a:r>
          </a:p>
        </c:rich>
      </c:tx>
      <c:overlay val="0"/>
    </c:title>
    <c:autoTitleDeleted val="0"/>
    <c:plotArea>
      <c:layout/>
      <c:doughnutChart>
        <c:ser>
          <c:idx val="0"/>
          <c:order val="0"/>
          <c:tx>
            <c:v>Count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'Dashboard'!$G$10:$G$14</c:f>
              <c:strCache>
                <c:ptCount val="0"/>
              </c:strCache>
            </c:strRef>
          </c:cat>
          <c:val>
            <c:numRef>
              <c:f>'Dashboard'!$H$10:$H$14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18</xdr:row>
      <xdr:rowOff>0</xdr:rowOff>
    </xdr:from>
    <xdr:to>
      <xdr:col>6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2d1448408504cda"/>
        </a:graphicData>
      </a:graphic>
    </xdr:graphicFrame>
    <xdr:clientData/>
  </xdr:twoCellAnchor>
  <xdr:twoCellAnchor>
    <xdr:from>
      <xdr:col>6</xdr:col>
      <xdr:colOff>0</xdr:colOff>
      <xdr:row>18</xdr:row>
      <xdr:rowOff>0</xdr:rowOff>
    </xdr:from>
    <xdr:to>
      <xdr:col>12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c9baef98ea04cf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lientsTable" displayName="ClientsTable" ref="A4:N205" headerRowCount="1">
  <x:autoFilter ref="A4:N205"/>
  <x:tableColumns count="14">
    <x:tableColumn id="1" name="Client ID"/>
    <x:tableColumn id="2" name="Client"/>
    <x:tableColumn id="3" name="Status"/>
    <x:tableColumn id="4" name="Entity Type"/>
    <x:tableColumn id="5" name="Software"/>
    <x:tableColumn id="6" name="Monthly Fee"/>
    <x:tableColumn id="7" name="Start Date"/>
    <x:tableColumn id="8" name="Close Day"/>
    <x:tableColumn id="9" name="Contact"/>
    <x:tableColumn id="10" name="Email"/>
    <x:tableColumn id="11" name="Tax Preparer"/>
    <x:tableColumn id="12" name="Health"/>
    <x:tableColumn id="13" name="Next Review"/>
    <x:tableColumn id="14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LeadPipelineTable" displayName="LeadPipelineTable" ref="A4:N205" headerRowCount="1">
  <x:autoFilter ref="A4:N205"/>
  <x:tableColumns count="14">
    <x:tableColumn id="1" name="Lead ID"/>
    <x:tableColumn id="2" name="Contact"/>
    <x:tableColumn id="3" name="Company"/>
    <x:tableColumn id="4" name="Stage"/>
    <x:tableColumn id="5" name="Source"/>
    <x:tableColumn id="6" name="Monthly Fee Est."/>
    <x:tableColumn id="7" name="Cleanup Est."/>
    <x:tableColumn id="8" name="Probability"/>
    <x:tableColumn id="9" name="Weighted Value"/>
    <x:tableColumn id="10" name="Diagnostic Date"/>
    <x:tableColumn id="11" name="Next Action"/>
    <x:tableColumn id="12" name="Next Action Date"/>
    <x:tableColumn id="13" name="Email"/>
    <x:tableColumn id="14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MonthlyCloseTable" displayName="MonthlyCloseTable" ref="A4:P205" headerRowCount="1">
  <x:autoFilter ref="A4:P205"/>
  <x:tableColumns count="16">
    <x:tableColumn id="1" name="Period"/>
    <x:tableColumn id="2" name="Client"/>
    <x:tableColumn id="3" name="Status"/>
    <x:tableColumn id="4" name="Owner"/>
    <x:tableColumn id="5" name="Due Date"/>
    <x:tableColumn id="6" name="Bank Reconciled"/>
    <x:tableColumn id="7" name="Cards Reconciled"/>
    <x:tableColumn id="8" name="Loans Reconciled"/>
    <x:tableColumn id="9" name="Payroll Reviewed"/>
    <x:tableColumn id="10" name="Tax Liability Reviewed"/>
    <x:tableColumn id="11" name="Questions Sent"/>
    <x:tableColumn id="12" name="Questions Cleared"/>
    <x:tableColumn id="13" name="Reports Ready"/>
    <x:tableColumn id="14" name="Reviewer"/>
    <x:tableColumn id="15" name="Delivered Date"/>
    <x:tableColumn id="16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InvoiceTrackerTable" displayName="InvoiceTrackerTable" ref="A4:K205" headerRowCount="1">
  <x:autoFilter ref="A4:K205"/>
  <x:tableColumns count="11">
    <x:tableColumn id="1" name="Invoice"/>
    <x:tableColumn id="2" name="Client"/>
    <x:tableColumn id="3" name="Service Period"/>
    <x:tableColumn id="4" name="Issue Date"/>
    <x:tableColumn id="5" name="Due Date"/>
    <x:tableColumn id="6" name="Amount"/>
    <x:tableColumn id="7" name="Status"/>
    <x:tableColumn id="8" name="Paid Date"/>
    <x:tableColumn id="9" name="Days Overdue"/>
    <x:tableColumn id="10" name="Payment Link"/>
    <x:tableColumn id="11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TaxDocumentTable" displayName="TaxDocumentTable" ref="A4:M205" headerRowCount="1">
  <x:autoFilter ref="A4:M205"/>
  <x:tableColumns count="13">
    <x:tableColumn id="1" name="Client"/>
    <x:tableColumn id="2" name="Tax Year"/>
    <x:tableColumn id="3" name="Document"/>
    <x:tableColumn id="4" name="Category"/>
    <x:tableColumn id="5" name="Required"/>
    <x:tableColumn id="6" name="Status"/>
    <x:tableColumn id="7" name="Requested"/>
    <x:tableColumn id="8" name="Due"/>
    <x:tableColumn id="9" name="Received"/>
    <x:tableColumn id="10" name="Secure Link"/>
    <x:tableColumn id="11" name="Tax Preparer"/>
    <x:tableColumn id="12" name="Owner"/>
    <x:tableColumn id="13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CapacityTable" displayName="CapacityTable" ref="A4:J205" headerRowCount="1">
  <x:autoFilter ref="A4:J205"/>
  <x:tableColumns count="10">
    <x:tableColumn id="1" name="Client"/>
    <x:tableColumn id="2" name="Monthly Fee"/>
    <x:tableColumn id="3" name="Estimated Hours"/>
    <x:tableColumn id="4" name="Actual Hours"/>
    <x:tableColumn id="5" name="Effective Rate"/>
    <x:tableColumn id="6" name="Delivery Cost"/>
    <x:tableColumn id="7" name="Gross Profit"/>
    <x:tableColumn id="8" name="Gross Margin"/>
    <x:tableColumn id="9" name="Close Day"/>
    <x:tableColumn id="10" name="Own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341bdea1e974c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fbf9eb0881643a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7409489bf397408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86edf7f6dcc5496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d459509048ee4c2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db9606084000443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5396b56215dc42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4" max="4" width="22" hidden="0" customWidth="1"/>
    <x:col min="5" max="5" width="25" hidden="0" customWidth="1"/>
    <x:col min="6" max="6" width="20" hidden="0" customWidth="1"/>
  </x:cols>
  <x:sheetData>
    <x:row r="1" ht="34" customHeight="1">
      <x:c r="A1" s="2" t="str">
        <x:v>Practice Setup</x:v>
      </x:c>
      <x:c r="B1" s="2"/>
      <x:c r="C1" s="2"/>
      <x:c r="D1" s="2"/>
      <x:c r="E1" s="2"/>
      <x:c r="F1" s="2"/>
    </x:row>
    <x:row r="2" ht="25" customHeight="1">
      <x:c r="A2" s="4" t="str">
        <x:v>Edit yellow cells before using the dashboard.</x:v>
      </x:c>
      <x:c r="B2" s="4"/>
      <x:c r="C2" s="4"/>
      <x:c r="D2" s="4"/>
      <x:c r="E2" s="4"/>
      <x:c r="F2" s="4"/>
    </x:row>
    <x:row r="4">
      <x:c r="A4" s="8" t="str">
        <x:v>Setting</x:v>
      </x:c>
      <x:c r="B4" s="8" t="str">
        <x:v>Value</x:v>
      </x:c>
      <x:c r="D4" s="8" t="str">
        <x:v>Client Status</x:v>
      </x:c>
      <x:c r="E4" s="8" t="str">
        <x:v>Close Status</x:v>
      </x:c>
      <x:c r="F4" s="8" t="str">
        <x:v>Invoice Status</x:v>
      </x:c>
    </x:row>
    <x:row r="5">
      <x:c r="A5" s="13" t="str">
        <x:v>Practice Name</x:v>
      </x:c>
      <x:c r="B5" s="16" t="str">
        <x:v>[YOUR PRACTICE]</x:v>
      </x:c>
      <x:c r="D5" s="13" t="str">
        <x:v>Onboarding</x:v>
      </x:c>
      <x:c r="E5" s="13" t="str">
        <x:v>Not Started</x:v>
      </x:c>
      <x:c r="F5" s="13" t="str">
        <x:v>Draft</x:v>
      </x:c>
    </x:row>
    <x:row r="6">
      <x:c r="A6" s="14" t="str">
        <x:v>Currency</x:v>
      </x:c>
      <x:c r="B6" s="17" t="str">
        <x:v>EUR</x:v>
      </x:c>
      <x:c r="D6" s="14" t="str">
        <x:v>Active</x:v>
      </x:c>
      <x:c r="E6" s="14" t="str">
        <x:v>Waiting for Documents</x:v>
      </x:c>
      <x:c r="F6" s="14" t="str">
        <x:v>Sent</x:v>
      </x:c>
    </x:row>
    <x:row r="7">
      <x:c r="A7" s="14" t="str">
        <x:v>Monthly Revenue Target</x:v>
      </x:c>
      <x:c r="B7" s="19" t="n">
        <x:v>12000</x:v>
      </x:c>
      <x:c r="D7" s="14" t="str">
        <x:v>Paused</x:v>
      </x:c>
      <x:c r="E7" s="14" t="str">
        <x:v>In Progress</x:v>
      </x:c>
      <x:c r="F7" s="14" t="str">
        <x:v>Paid</x:v>
      </x:c>
    </x:row>
    <x:row r="8">
      <x:c r="A8" s="14" t="str">
        <x:v>Hourly Cost</x:v>
      </x:c>
      <x:c r="B8" s="19" t="n">
        <x:v>35</x:v>
      </x:c>
      <x:c r="D8" s="14" t="str">
        <x:v>Offboarding</x:v>
      </x:c>
      <x:c r="E8" s="14" t="str">
        <x:v>Client Questions</x:v>
      </x:c>
      <x:c r="F8" s="14" t="str">
        <x:v>Overdue</x:v>
      </x:c>
    </x:row>
    <x:row r="9">
      <x:c r="A9" s="14" t="str">
        <x:v>Target Gross Margin</x:v>
      </x:c>
      <x:c r="B9" s="20" t="n">
        <x:v>0.65</x:v>
      </x:c>
      <x:c r="D9" s="14" t="str">
        <x:v>Past</x:v>
      </x:c>
      <x:c r="E9" s="14" t="str">
        <x:v>Review</x:v>
      </x:c>
      <x:c r="F9" s="14" t="str">
        <x:v>Void</x:v>
      </x:c>
    </x:row>
    <x:row r="10">
      <x:c r="A10" s="14" t="str">
        <x:v>Standard Close Day</x:v>
      </x:c>
      <x:c r="B10" s="17" t="n">
        <x:v>15</x:v>
      </x:c>
      <x:c r="D10" s="14" t="str"/>
      <x:c r="E10" s="14" t="str">
        <x:v>Complete</x:v>
      </x:c>
      <x:c r="F10" s="14" t="str"/>
    </x:row>
    <x:row r="11">
      <x:c r="A11" s="14" t="str">
        <x:v>Minimum Monthly Fee</x:v>
      </x:c>
      <x:c r="B11" s="19" t="n">
        <x:v>350</x:v>
      </x:c>
      <x:c r="D11" s="15" t="str"/>
      <x:c r="E11" s="15" t="str">
        <x:v>Blocked</x:v>
      </x:c>
      <x:c r="F11" s="15" t="str"/>
    </x:row>
    <x:row r="12">
      <x:c r="A12" s="14" t="str">
        <x:v>Base Monthly Hours</x:v>
      </x:c>
      <x:c r="B12" s="17" t="n">
        <x:v>3</x:v>
      </x:c>
    </x:row>
    <x:row r="13">
      <x:c r="A13" s="14" t="str">
        <x:v>Transaction Allowance</x:v>
      </x:c>
      <x:c r="B13" s="17" t="n">
        <x:v>100</x:v>
      </x:c>
    </x:row>
    <x:row r="14">
      <x:c r="A14" s="15" t="str">
        <x:v>Reporting Month</x:v>
      </x:c>
      <x:c r="B14" s="18" t="str">
        <x:v>2026-07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14" hidden="0" customWidth="1"/>
    <x:col min="4" max="4" width="15" hidden="0" customWidth="1"/>
    <x:col min="5" max="5" width="22" hidden="0" customWidth="1"/>
    <x:col min="6" max="6" width="14" hidden="0" customWidth="1"/>
    <x:col min="7" max="7" width="13" hidden="0" customWidth="1"/>
    <x:col min="8" max="8" width="11" hidden="0" customWidth="1"/>
    <x:col min="9" max="9" width="20" hidden="0" customWidth="1"/>
    <x:col min="10" max="10" width="25" hidden="0" customWidth="1"/>
    <x:col min="11" max="11" width="20" hidden="0" customWidth="1"/>
    <x:col min="12" max="12" width="11" hidden="0" customWidth="1"/>
    <x:col min="13" max="13" width="14" hidden="0" customWidth="1"/>
    <x:col min="14" max="14" width="34" hidden="0" customWidth="1"/>
  </x:cols>
  <x:sheetData>
    <x:row r="1" ht="34" customHeight="1">
      <x:c r="A1" s="2" t="str">
        <x:v>Client CRM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5" customHeight="1">
      <x:c r="A2" s="4" t="str">
        <x:v>Track scope, software, recurring fees, deadlines, and relationship health.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4">
      <x:c r="A4" s="8" t="str">
        <x:v>Client ID</x:v>
      </x:c>
      <x:c r="B4" s="8" t="str">
        <x:v>Client</x:v>
      </x:c>
      <x:c r="C4" s="8" t="str">
        <x:v>Status</x:v>
      </x:c>
      <x:c r="D4" s="8" t="str">
        <x:v>Entity Type</x:v>
      </x:c>
      <x:c r="E4" s="8" t="str">
        <x:v>Software</x:v>
      </x:c>
      <x:c r="F4" s="8" t="str">
        <x:v>Monthly Fee</x:v>
      </x:c>
      <x:c r="G4" s="8" t="str">
        <x:v>Start Date</x:v>
      </x:c>
      <x:c r="H4" s="8" t="str">
        <x:v>Close Day</x:v>
      </x:c>
      <x:c r="I4" s="8" t="str">
        <x:v>Contact</x:v>
      </x:c>
      <x:c r="J4" s="8" t="str">
        <x:v>Email</x:v>
      </x:c>
      <x:c r="K4" s="8" t="str">
        <x:v>Tax Preparer</x:v>
      </x:c>
      <x:c r="L4" s="8" t="str">
        <x:v>Health</x:v>
      </x:c>
      <x:c r="M4" s="8" t="str">
        <x:v>Next Review</x:v>
      </x:c>
      <x:c r="N4" s="8" t="str">
        <x:v>Notes</x:v>
      </x:c>
    </x:row>
    <x:row r="5">
      <x:c r="A5" s="13" t="str">
        <x:v>C-001</x:v>
      </x:c>
      <x:c r="B5" s="13" t="str">
        <x:v>Harbor Design LLC</x:v>
      </x:c>
      <x:c r="C5" s="13" t="str">
        <x:v>Active</x:v>
      </x:c>
      <x:c r="D5" s="13" t="str">
        <x:v>LLC</x:v>
      </x:c>
      <x:c r="E5" s="13" t="str">
        <x:v>QuickBooks Online</x:v>
      </x:c>
      <x:c r="F5" s="21" t="n">
        <x:v>850</x:v>
      </x:c>
      <x:c r="G5" s="24" t="n">
        <x:v>46204</x:v>
      </x:c>
      <x:c r="H5" s="13" t="n">
        <x:v>15</x:v>
      </x:c>
      <x:c r="I5" s="13" t="str">
        <x:v>Alex Morgan</x:v>
      </x:c>
      <x:c r="J5" s="13" t="str">
        <x:v>alex@example.com</x:v>
      </x:c>
      <x:c r="K5" s="13" t="str">
        <x:v>[NAME]</x:v>
      </x:c>
      <x:c r="L5" s="13" t="str">
        <x:v>Green</x:v>
      </x:c>
      <x:c r="M5" s="24" t="n">
        <x:v>46254</x:v>
      </x:c>
      <x:c r="N5" s="13" t="str">
        <x:v>Sample row</x:v>
      </x:c>
    </x:row>
    <x:row r="6">
      <x:c r="A6" s="14"/>
      <x:c r="B6" s="14"/>
      <x:c r="C6" s="14"/>
      <x:c r="D6" s="14"/>
      <x:c r="E6" s="14"/>
      <x:c r="F6" s="22"/>
      <x:c r="G6" s="25"/>
      <x:c r="H6" s="14"/>
      <x:c r="I6" s="14"/>
      <x:c r="J6" s="14"/>
      <x:c r="K6" s="14"/>
      <x:c r="L6" s="14"/>
      <x:c r="M6" s="25"/>
      <x:c r="N6" s="14"/>
    </x:row>
    <x:row r="7">
      <x:c r="A7" s="14"/>
      <x:c r="B7" s="14"/>
      <x:c r="C7" s="14"/>
      <x:c r="D7" s="14"/>
      <x:c r="E7" s="14"/>
      <x:c r="F7" s="22"/>
      <x:c r="G7" s="25"/>
      <x:c r="H7" s="14"/>
      <x:c r="I7" s="14"/>
      <x:c r="J7" s="14"/>
      <x:c r="K7" s="14"/>
      <x:c r="L7" s="14"/>
      <x:c r="M7" s="25"/>
      <x:c r="N7" s="14"/>
    </x:row>
    <x:row r="8">
      <x:c r="A8" s="14"/>
      <x:c r="B8" s="14"/>
      <x:c r="C8" s="14"/>
      <x:c r="D8" s="14"/>
      <x:c r="E8" s="14"/>
      <x:c r="F8" s="22"/>
      <x:c r="G8" s="25"/>
      <x:c r="H8" s="14"/>
      <x:c r="I8" s="14"/>
      <x:c r="J8" s="14"/>
      <x:c r="K8" s="14"/>
      <x:c r="L8" s="14"/>
      <x:c r="M8" s="25"/>
      <x:c r="N8" s="14"/>
    </x:row>
    <x:row r="9">
      <x:c r="A9" s="14"/>
      <x:c r="B9" s="14"/>
      <x:c r="C9" s="14"/>
      <x:c r="D9" s="14"/>
      <x:c r="E9" s="14"/>
      <x:c r="F9" s="22"/>
      <x:c r="G9" s="25"/>
      <x:c r="H9" s="14"/>
      <x:c r="I9" s="14"/>
      <x:c r="J9" s="14"/>
      <x:c r="K9" s="14"/>
      <x:c r="L9" s="14"/>
      <x:c r="M9" s="25"/>
      <x:c r="N9" s="14"/>
    </x:row>
    <x:row r="10">
      <x:c r="A10" s="14"/>
      <x:c r="B10" s="14"/>
      <x:c r="C10" s="14"/>
      <x:c r="D10" s="14"/>
      <x:c r="E10" s="14"/>
      <x:c r="F10" s="22"/>
      <x:c r="G10" s="25"/>
      <x:c r="H10" s="14"/>
      <x:c r="I10" s="14"/>
      <x:c r="J10" s="14"/>
      <x:c r="K10" s="14"/>
      <x:c r="L10" s="14"/>
      <x:c r="M10" s="25"/>
      <x:c r="N10" s="14"/>
    </x:row>
    <x:row r="11">
      <x:c r="A11" s="14"/>
      <x:c r="B11" s="14"/>
      <x:c r="C11" s="14"/>
      <x:c r="D11" s="14"/>
      <x:c r="E11" s="14"/>
      <x:c r="F11" s="22"/>
      <x:c r="G11" s="25"/>
      <x:c r="H11" s="14"/>
      <x:c r="I11" s="14"/>
      <x:c r="J11" s="14"/>
      <x:c r="K11" s="14"/>
      <x:c r="L11" s="14"/>
      <x:c r="M11" s="25"/>
      <x:c r="N11" s="14"/>
    </x:row>
    <x:row r="12">
      <x:c r="A12" s="14"/>
      <x:c r="B12" s="14"/>
      <x:c r="C12" s="14"/>
      <x:c r="D12" s="14"/>
      <x:c r="E12" s="14"/>
      <x:c r="F12" s="22"/>
      <x:c r="G12" s="25"/>
      <x:c r="H12" s="14"/>
      <x:c r="I12" s="14"/>
      <x:c r="J12" s="14"/>
      <x:c r="K12" s="14"/>
      <x:c r="L12" s="14"/>
      <x:c r="M12" s="25"/>
      <x:c r="N12" s="14"/>
    </x:row>
    <x:row r="13">
      <x:c r="A13" s="14"/>
      <x:c r="B13" s="14"/>
      <x:c r="C13" s="14"/>
      <x:c r="D13" s="14"/>
      <x:c r="E13" s="14"/>
      <x:c r="F13" s="22"/>
      <x:c r="G13" s="25"/>
      <x:c r="H13" s="14"/>
      <x:c r="I13" s="14"/>
      <x:c r="J13" s="14"/>
      <x:c r="K13" s="14"/>
      <x:c r="L13" s="14"/>
      <x:c r="M13" s="25"/>
      <x:c r="N13" s="14"/>
    </x:row>
    <x:row r="14">
      <x:c r="A14" s="14"/>
      <x:c r="B14" s="14"/>
      <x:c r="C14" s="14"/>
      <x:c r="D14" s="14"/>
      <x:c r="E14" s="14"/>
      <x:c r="F14" s="22"/>
      <x:c r="G14" s="25"/>
      <x:c r="H14" s="14"/>
      <x:c r="I14" s="14"/>
      <x:c r="J14" s="14"/>
      <x:c r="K14" s="14"/>
      <x:c r="L14" s="14"/>
      <x:c r="M14" s="25"/>
      <x:c r="N14" s="14"/>
    </x:row>
    <x:row r="15">
      <x:c r="A15" s="14"/>
      <x:c r="B15" s="14"/>
      <x:c r="C15" s="14"/>
      <x:c r="D15" s="14"/>
      <x:c r="E15" s="14"/>
      <x:c r="F15" s="22"/>
      <x:c r="G15" s="25"/>
      <x:c r="H15" s="14"/>
      <x:c r="I15" s="14"/>
      <x:c r="J15" s="14"/>
      <x:c r="K15" s="14"/>
      <x:c r="L15" s="14"/>
      <x:c r="M15" s="25"/>
      <x:c r="N15" s="14"/>
    </x:row>
    <x:row r="16">
      <x:c r="A16" s="14"/>
      <x:c r="B16" s="14"/>
      <x:c r="C16" s="14"/>
      <x:c r="D16" s="14"/>
      <x:c r="E16" s="14"/>
      <x:c r="F16" s="22"/>
      <x:c r="G16" s="25"/>
      <x:c r="H16" s="14"/>
      <x:c r="I16" s="14"/>
      <x:c r="J16" s="14"/>
      <x:c r="K16" s="14"/>
      <x:c r="L16" s="14"/>
      <x:c r="M16" s="25"/>
      <x:c r="N16" s="14"/>
    </x:row>
    <x:row r="17">
      <x:c r="A17" s="14"/>
      <x:c r="B17" s="14"/>
      <x:c r="C17" s="14"/>
      <x:c r="D17" s="14"/>
      <x:c r="E17" s="14"/>
      <x:c r="F17" s="22"/>
      <x:c r="G17" s="25"/>
      <x:c r="H17" s="14"/>
      <x:c r="I17" s="14"/>
      <x:c r="J17" s="14"/>
      <x:c r="K17" s="14"/>
      <x:c r="L17" s="14"/>
      <x:c r="M17" s="25"/>
      <x:c r="N17" s="14"/>
    </x:row>
    <x:row r="18">
      <x:c r="A18" s="14"/>
      <x:c r="B18" s="14"/>
      <x:c r="C18" s="14"/>
      <x:c r="D18" s="14"/>
      <x:c r="E18" s="14"/>
      <x:c r="F18" s="22"/>
      <x:c r="G18" s="25"/>
      <x:c r="H18" s="14"/>
      <x:c r="I18" s="14"/>
      <x:c r="J18" s="14"/>
      <x:c r="K18" s="14"/>
      <x:c r="L18" s="14"/>
      <x:c r="M18" s="25"/>
      <x:c r="N18" s="14"/>
    </x:row>
    <x:row r="19">
      <x:c r="A19" s="14"/>
      <x:c r="B19" s="14"/>
      <x:c r="C19" s="14"/>
      <x:c r="D19" s="14"/>
      <x:c r="E19" s="14"/>
      <x:c r="F19" s="22"/>
      <x:c r="G19" s="25"/>
      <x:c r="H19" s="14"/>
      <x:c r="I19" s="14"/>
      <x:c r="J19" s="14"/>
      <x:c r="K19" s="14"/>
      <x:c r="L19" s="14"/>
      <x:c r="M19" s="25"/>
      <x:c r="N19" s="14"/>
    </x:row>
    <x:row r="20">
      <x:c r="A20" s="14"/>
      <x:c r="B20" s="14"/>
      <x:c r="C20" s="14"/>
      <x:c r="D20" s="14"/>
      <x:c r="E20" s="14"/>
      <x:c r="F20" s="22"/>
      <x:c r="G20" s="25"/>
      <x:c r="H20" s="14"/>
      <x:c r="I20" s="14"/>
      <x:c r="J20" s="14"/>
      <x:c r="K20" s="14"/>
      <x:c r="L20" s="14"/>
      <x:c r="M20" s="25"/>
      <x:c r="N20" s="14"/>
    </x:row>
    <x:row r="21">
      <x:c r="A21" s="14"/>
      <x:c r="B21" s="14"/>
      <x:c r="C21" s="14"/>
      <x:c r="D21" s="14"/>
      <x:c r="E21" s="14"/>
      <x:c r="F21" s="22"/>
      <x:c r="G21" s="25"/>
      <x:c r="H21" s="14"/>
      <x:c r="I21" s="14"/>
      <x:c r="J21" s="14"/>
      <x:c r="K21" s="14"/>
      <x:c r="L21" s="14"/>
      <x:c r="M21" s="25"/>
      <x:c r="N21" s="14"/>
    </x:row>
    <x:row r="22">
      <x:c r="A22" s="14"/>
      <x:c r="B22" s="14"/>
      <x:c r="C22" s="14"/>
      <x:c r="D22" s="14"/>
      <x:c r="E22" s="14"/>
      <x:c r="F22" s="22"/>
      <x:c r="G22" s="25"/>
      <x:c r="H22" s="14"/>
      <x:c r="I22" s="14"/>
      <x:c r="J22" s="14"/>
      <x:c r="K22" s="14"/>
      <x:c r="L22" s="14"/>
      <x:c r="M22" s="25"/>
      <x:c r="N22" s="14"/>
    </x:row>
    <x:row r="23">
      <x:c r="A23" s="14"/>
      <x:c r="B23" s="14"/>
      <x:c r="C23" s="14"/>
      <x:c r="D23" s="14"/>
      <x:c r="E23" s="14"/>
      <x:c r="F23" s="22"/>
      <x:c r="G23" s="25"/>
      <x:c r="H23" s="14"/>
      <x:c r="I23" s="14"/>
      <x:c r="J23" s="14"/>
      <x:c r="K23" s="14"/>
      <x:c r="L23" s="14"/>
      <x:c r="M23" s="25"/>
      <x:c r="N23" s="14"/>
    </x:row>
    <x:row r="24">
      <x:c r="A24" s="14"/>
      <x:c r="B24" s="14"/>
      <x:c r="C24" s="14"/>
      <x:c r="D24" s="14"/>
      <x:c r="E24" s="14"/>
      <x:c r="F24" s="22"/>
      <x:c r="G24" s="25"/>
      <x:c r="H24" s="14"/>
      <x:c r="I24" s="14"/>
      <x:c r="J24" s="14"/>
      <x:c r="K24" s="14"/>
      <x:c r="L24" s="14"/>
      <x:c r="M24" s="25"/>
      <x:c r="N24" s="14"/>
    </x:row>
    <x:row r="25">
      <x:c r="A25" s="14"/>
      <x:c r="B25" s="14"/>
      <x:c r="C25" s="14"/>
      <x:c r="D25" s="14"/>
      <x:c r="E25" s="14"/>
      <x:c r="F25" s="22"/>
      <x:c r="G25" s="25"/>
      <x:c r="H25" s="14"/>
      <x:c r="I25" s="14"/>
      <x:c r="J25" s="14"/>
      <x:c r="K25" s="14"/>
      <x:c r="L25" s="14"/>
      <x:c r="M25" s="25"/>
      <x:c r="N25" s="14"/>
    </x:row>
    <x:row r="26">
      <x:c r="A26" s="14"/>
      <x:c r="B26" s="14"/>
      <x:c r="C26" s="14"/>
      <x:c r="D26" s="14"/>
      <x:c r="E26" s="14"/>
      <x:c r="F26" s="22"/>
      <x:c r="G26" s="25"/>
      <x:c r="H26" s="14"/>
      <x:c r="I26" s="14"/>
      <x:c r="J26" s="14"/>
      <x:c r="K26" s="14"/>
      <x:c r="L26" s="14"/>
      <x:c r="M26" s="25"/>
      <x:c r="N26" s="14"/>
    </x:row>
    <x:row r="27">
      <x:c r="A27" s="14"/>
      <x:c r="B27" s="14"/>
      <x:c r="C27" s="14"/>
      <x:c r="D27" s="14"/>
      <x:c r="E27" s="14"/>
      <x:c r="F27" s="22"/>
      <x:c r="G27" s="25"/>
      <x:c r="H27" s="14"/>
      <x:c r="I27" s="14"/>
      <x:c r="J27" s="14"/>
      <x:c r="K27" s="14"/>
      <x:c r="L27" s="14"/>
      <x:c r="M27" s="25"/>
      <x:c r="N27" s="14"/>
    </x:row>
    <x:row r="28">
      <x:c r="A28" s="14"/>
      <x:c r="B28" s="14"/>
      <x:c r="C28" s="14"/>
      <x:c r="D28" s="14"/>
      <x:c r="E28" s="14"/>
      <x:c r="F28" s="22"/>
      <x:c r="G28" s="25"/>
      <x:c r="H28" s="14"/>
      <x:c r="I28" s="14"/>
      <x:c r="J28" s="14"/>
      <x:c r="K28" s="14"/>
      <x:c r="L28" s="14"/>
      <x:c r="M28" s="25"/>
      <x:c r="N28" s="14"/>
    </x:row>
    <x:row r="29">
      <x:c r="A29" s="14"/>
      <x:c r="B29" s="14"/>
      <x:c r="C29" s="14"/>
      <x:c r="D29" s="14"/>
      <x:c r="E29" s="14"/>
      <x:c r="F29" s="22"/>
      <x:c r="G29" s="25"/>
      <x:c r="H29" s="14"/>
      <x:c r="I29" s="14"/>
      <x:c r="J29" s="14"/>
      <x:c r="K29" s="14"/>
      <x:c r="L29" s="14"/>
      <x:c r="M29" s="25"/>
      <x:c r="N29" s="14"/>
    </x:row>
    <x:row r="30">
      <x:c r="A30" s="14"/>
      <x:c r="B30" s="14"/>
      <x:c r="C30" s="14"/>
      <x:c r="D30" s="14"/>
      <x:c r="E30" s="14"/>
      <x:c r="F30" s="22"/>
      <x:c r="G30" s="25"/>
      <x:c r="H30" s="14"/>
      <x:c r="I30" s="14"/>
      <x:c r="J30" s="14"/>
      <x:c r="K30" s="14"/>
      <x:c r="L30" s="14"/>
      <x:c r="M30" s="25"/>
      <x:c r="N30" s="14"/>
    </x:row>
    <x:row r="31">
      <x:c r="A31" s="14"/>
      <x:c r="B31" s="14"/>
      <x:c r="C31" s="14"/>
      <x:c r="D31" s="14"/>
      <x:c r="E31" s="14"/>
      <x:c r="F31" s="22"/>
      <x:c r="G31" s="25"/>
      <x:c r="H31" s="14"/>
      <x:c r="I31" s="14"/>
      <x:c r="J31" s="14"/>
      <x:c r="K31" s="14"/>
      <x:c r="L31" s="14"/>
      <x:c r="M31" s="25"/>
      <x:c r="N31" s="14"/>
    </x:row>
    <x:row r="32">
      <x:c r="A32" s="14"/>
      <x:c r="B32" s="14"/>
      <x:c r="C32" s="14"/>
      <x:c r="D32" s="14"/>
      <x:c r="E32" s="14"/>
      <x:c r="F32" s="22"/>
      <x:c r="G32" s="25"/>
      <x:c r="H32" s="14"/>
      <x:c r="I32" s="14"/>
      <x:c r="J32" s="14"/>
      <x:c r="K32" s="14"/>
      <x:c r="L32" s="14"/>
      <x:c r="M32" s="25"/>
      <x:c r="N32" s="14"/>
    </x:row>
    <x:row r="33">
      <x:c r="A33" s="14"/>
      <x:c r="B33" s="14"/>
      <x:c r="C33" s="14"/>
      <x:c r="D33" s="14"/>
      <x:c r="E33" s="14"/>
      <x:c r="F33" s="22"/>
      <x:c r="G33" s="25"/>
      <x:c r="H33" s="14"/>
      <x:c r="I33" s="14"/>
      <x:c r="J33" s="14"/>
      <x:c r="K33" s="14"/>
      <x:c r="L33" s="14"/>
      <x:c r="M33" s="25"/>
      <x:c r="N33" s="14"/>
    </x:row>
    <x:row r="34">
      <x:c r="A34" s="14"/>
      <x:c r="B34" s="14"/>
      <x:c r="C34" s="14"/>
      <x:c r="D34" s="14"/>
      <x:c r="E34" s="14"/>
      <x:c r="F34" s="22"/>
      <x:c r="G34" s="25"/>
      <x:c r="H34" s="14"/>
      <x:c r="I34" s="14"/>
      <x:c r="J34" s="14"/>
      <x:c r="K34" s="14"/>
      <x:c r="L34" s="14"/>
      <x:c r="M34" s="25"/>
      <x:c r="N34" s="14"/>
    </x:row>
    <x:row r="35">
      <x:c r="A35" s="14"/>
      <x:c r="B35" s="14"/>
      <x:c r="C35" s="14"/>
      <x:c r="D35" s="14"/>
      <x:c r="E35" s="14"/>
      <x:c r="F35" s="22"/>
      <x:c r="G35" s="25"/>
      <x:c r="H35" s="14"/>
      <x:c r="I35" s="14"/>
      <x:c r="J35" s="14"/>
      <x:c r="K35" s="14"/>
      <x:c r="L35" s="14"/>
      <x:c r="M35" s="25"/>
      <x:c r="N35" s="14"/>
    </x:row>
    <x:row r="36">
      <x:c r="A36" s="14"/>
      <x:c r="B36" s="14"/>
      <x:c r="C36" s="14"/>
      <x:c r="D36" s="14"/>
      <x:c r="E36" s="14"/>
      <x:c r="F36" s="22"/>
      <x:c r="G36" s="25"/>
      <x:c r="H36" s="14"/>
      <x:c r="I36" s="14"/>
      <x:c r="J36" s="14"/>
      <x:c r="K36" s="14"/>
      <x:c r="L36" s="14"/>
      <x:c r="M36" s="25"/>
      <x:c r="N36" s="14"/>
    </x:row>
    <x:row r="37">
      <x:c r="A37" s="14"/>
      <x:c r="B37" s="14"/>
      <x:c r="C37" s="14"/>
      <x:c r="D37" s="14"/>
      <x:c r="E37" s="14"/>
      <x:c r="F37" s="22"/>
      <x:c r="G37" s="25"/>
      <x:c r="H37" s="14"/>
      <x:c r="I37" s="14"/>
      <x:c r="J37" s="14"/>
      <x:c r="K37" s="14"/>
      <x:c r="L37" s="14"/>
      <x:c r="M37" s="25"/>
      <x:c r="N37" s="14"/>
    </x:row>
    <x:row r="38">
      <x:c r="A38" s="14"/>
      <x:c r="B38" s="14"/>
      <x:c r="C38" s="14"/>
      <x:c r="D38" s="14"/>
      <x:c r="E38" s="14"/>
      <x:c r="F38" s="22"/>
      <x:c r="G38" s="25"/>
      <x:c r="H38" s="14"/>
      <x:c r="I38" s="14"/>
      <x:c r="J38" s="14"/>
      <x:c r="K38" s="14"/>
      <x:c r="L38" s="14"/>
      <x:c r="M38" s="25"/>
      <x:c r="N38" s="14"/>
    </x:row>
    <x:row r="39">
      <x:c r="A39" s="14"/>
      <x:c r="B39" s="14"/>
      <x:c r="C39" s="14"/>
      <x:c r="D39" s="14"/>
      <x:c r="E39" s="14"/>
      <x:c r="F39" s="22"/>
      <x:c r="G39" s="25"/>
      <x:c r="H39" s="14"/>
      <x:c r="I39" s="14"/>
      <x:c r="J39" s="14"/>
      <x:c r="K39" s="14"/>
      <x:c r="L39" s="14"/>
      <x:c r="M39" s="25"/>
      <x:c r="N39" s="14"/>
    </x:row>
    <x:row r="40">
      <x:c r="A40" s="14"/>
      <x:c r="B40" s="14"/>
      <x:c r="C40" s="14"/>
      <x:c r="D40" s="14"/>
      <x:c r="E40" s="14"/>
      <x:c r="F40" s="22"/>
      <x:c r="G40" s="25"/>
      <x:c r="H40" s="14"/>
      <x:c r="I40" s="14"/>
      <x:c r="J40" s="14"/>
      <x:c r="K40" s="14"/>
      <x:c r="L40" s="14"/>
      <x:c r="M40" s="25"/>
      <x:c r="N40" s="14"/>
    </x:row>
    <x:row r="41">
      <x:c r="A41" s="14"/>
      <x:c r="B41" s="14"/>
      <x:c r="C41" s="14"/>
      <x:c r="D41" s="14"/>
      <x:c r="E41" s="14"/>
      <x:c r="F41" s="22"/>
      <x:c r="G41" s="25"/>
      <x:c r="H41" s="14"/>
      <x:c r="I41" s="14"/>
      <x:c r="J41" s="14"/>
      <x:c r="K41" s="14"/>
      <x:c r="L41" s="14"/>
      <x:c r="M41" s="25"/>
      <x:c r="N41" s="14"/>
    </x:row>
    <x:row r="42">
      <x:c r="A42" s="14"/>
      <x:c r="B42" s="14"/>
      <x:c r="C42" s="14"/>
      <x:c r="D42" s="14"/>
      <x:c r="E42" s="14"/>
      <x:c r="F42" s="22"/>
      <x:c r="G42" s="25"/>
      <x:c r="H42" s="14"/>
      <x:c r="I42" s="14"/>
      <x:c r="J42" s="14"/>
      <x:c r="K42" s="14"/>
      <x:c r="L42" s="14"/>
      <x:c r="M42" s="25"/>
      <x:c r="N42" s="14"/>
    </x:row>
    <x:row r="43">
      <x:c r="A43" s="14"/>
      <x:c r="B43" s="14"/>
      <x:c r="C43" s="14"/>
      <x:c r="D43" s="14"/>
      <x:c r="E43" s="14"/>
      <x:c r="F43" s="22"/>
      <x:c r="G43" s="25"/>
      <x:c r="H43" s="14"/>
      <x:c r="I43" s="14"/>
      <x:c r="J43" s="14"/>
      <x:c r="K43" s="14"/>
      <x:c r="L43" s="14"/>
      <x:c r="M43" s="25"/>
      <x:c r="N43" s="14"/>
    </x:row>
    <x:row r="44">
      <x:c r="A44" s="14"/>
      <x:c r="B44" s="14"/>
      <x:c r="C44" s="14"/>
      <x:c r="D44" s="14"/>
      <x:c r="E44" s="14"/>
      <x:c r="F44" s="22"/>
      <x:c r="G44" s="25"/>
      <x:c r="H44" s="14"/>
      <x:c r="I44" s="14"/>
      <x:c r="J44" s="14"/>
      <x:c r="K44" s="14"/>
      <x:c r="L44" s="14"/>
      <x:c r="M44" s="25"/>
      <x:c r="N44" s="14"/>
    </x:row>
    <x:row r="45">
      <x:c r="A45" s="14"/>
      <x:c r="B45" s="14"/>
      <x:c r="C45" s="14"/>
      <x:c r="D45" s="14"/>
      <x:c r="E45" s="14"/>
      <x:c r="F45" s="22"/>
      <x:c r="G45" s="25"/>
      <x:c r="H45" s="14"/>
      <x:c r="I45" s="14"/>
      <x:c r="J45" s="14"/>
      <x:c r="K45" s="14"/>
      <x:c r="L45" s="14"/>
      <x:c r="M45" s="25"/>
      <x:c r="N45" s="14"/>
    </x:row>
    <x:row r="46">
      <x:c r="A46" s="14"/>
      <x:c r="B46" s="14"/>
      <x:c r="C46" s="14"/>
      <x:c r="D46" s="14"/>
      <x:c r="E46" s="14"/>
      <x:c r="F46" s="22"/>
      <x:c r="G46" s="25"/>
      <x:c r="H46" s="14"/>
      <x:c r="I46" s="14"/>
      <x:c r="J46" s="14"/>
      <x:c r="K46" s="14"/>
      <x:c r="L46" s="14"/>
      <x:c r="M46" s="25"/>
      <x:c r="N46" s="14"/>
    </x:row>
    <x:row r="47">
      <x:c r="A47" s="14"/>
      <x:c r="B47" s="14"/>
      <x:c r="C47" s="14"/>
      <x:c r="D47" s="14"/>
      <x:c r="E47" s="14"/>
      <x:c r="F47" s="22"/>
      <x:c r="G47" s="25"/>
      <x:c r="H47" s="14"/>
      <x:c r="I47" s="14"/>
      <x:c r="J47" s="14"/>
      <x:c r="K47" s="14"/>
      <x:c r="L47" s="14"/>
      <x:c r="M47" s="25"/>
      <x:c r="N47" s="14"/>
    </x:row>
    <x:row r="48">
      <x:c r="A48" s="14"/>
      <x:c r="B48" s="14"/>
      <x:c r="C48" s="14"/>
      <x:c r="D48" s="14"/>
      <x:c r="E48" s="14"/>
      <x:c r="F48" s="22"/>
      <x:c r="G48" s="25"/>
      <x:c r="H48" s="14"/>
      <x:c r="I48" s="14"/>
      <x:c r="J48" s="14"/>
      <x:c r="K48" s="14"/>
      <x:c r="L48" s="14"/>
      <x:c r="M48" s="25"/>
      <x:c r="N48" s="14"/>
    </x:row>
    <x:row r="49">
      <x:c r="A49" s="14"/>
      <x:c r="B49" s="14"/>
      <x:c r="C49" s="14"/>
      <x:c r="D49" s="14"/>
      <x:c r="E49" s="14"/>
      <x:c r="F49" s="22"/>
      <x:c r="G49" s="25"/>
      <x:c r="H49" s="14"/>
      <x:c r="I49" s="14"/>
      <x:c r="J49" s="14"/>
      <x:c r="K49" s="14"/>
      <x:c r="L49" s="14"/>
      <x:c r="M49" s="25"/>
      <x:c r="N49" s="14"/>
    </x:row>
    <x:row r="50">
      <x:c r="A50" s="14"/>
      <x:c r="B50" s="14"/>
      <x:c r="C50" s="14"/>
      <x:c r="D50" s="14"/>
      <x:c r="E50" s="14"/>
      <x:c r="F50" s="22"/>
      <x:c r="G50" s="25"/>
      <x:c r="H50" s="14"/>
      <x:c r="I50" s="14"/>
      <x:c r="J50" s="14"/>
      <x:c r="K50" s="14"/>
      <x:c r="L50" s="14"/>
      <x:c r="M50" s="25"/>
      <x:c r="N50" s="14"/>
    </x:row>
    <x:row r="51">
      <x:c r="A51" s="14"/>
      <x:c r="B51" s="14"/>
      <x:c r="C51" s="14"/>
      <x:c r="D51" s="14"/>
      <x:c r="E51" s="14"/>
      <x:c r="F51" s="22"/>
      <x:c r="G51" s="25"/>
      <x:c r="H51" s="14"/>
      <x:c r="I51" s="14"/>
      <x:c r="J51" s="14"/>
      <x:c r="K51" s="14"/>
      <x:c r="L51" s="14"/>
      <x:c r="M51" s="25"/>
      <x:c r="N51" s="14"/>
    </x:row>
    <x:row r="52">
      <x:c r="A52" s="14"/>
      <x:c r="B52" s="14"/>
      <x:c r="C52" s="14"/>
      <x:c r="D52" s="14"/>
      <x:c r="E52" s="14"/>
      <x:c r="F52" s="22"/>
      <x:c r="G52" s="25"/>
      <x:c r="H52" s="14"/>
      <x:c r="I52" s="14"/>
      <x:c r="J52" s="14"/>
      <x:c r="K52" s="14"/>
      <x:c r="L52" s="14"/>
      <x:c r="M52" s="25"/>
      <x:c r="N52" s="14"/>
    </x:row>
    <x:row r="53">
      <x:c r="A53" s="14"/>
      <x:c r="B53" s="14"/>
      <x:c r="C53" s="14"/>
      <x:c r="D53" s="14"/>
      <x:c r="E53" s="14"/>
      <x:c r="F53" s="22"/>
      <x:c r="G53" s="25"/>
      <x:c r="H53" s="14"/>
      <x:c r="I53" s="14"/>
      <x:c r="J53" s="14"/>
      <x:c r="K53" s="14"/>
      <x:c r="L53" s="14"/>
      <x:c r="M53" s="25"/>
      <x:c r="N53" s="14"/>
    </x:row>
    <x:row r="54">
      <x:c r="A54" s="14"/>
      <x:c r="B54" s="14"/>
      <x:c r="C54" s="14"/>
      <x:c r="D54" s="14"/>
      <x:c r="E54" s="14"/>
      <x:c r="F54" s="22"/>
      <x:c r="G54" s="25"/>
      <x:c r="H54" s="14"/>
      <x:c r="I54" s="14"/>
      <x:c r="J54" s="14"/>
      <x:c r="K54" s="14"/>
      <x:c r="L54" s="14"/>
      <x:c r="M54" s="25"/>
      <x:c r="N54" s="14"/>
    </x:row>
    <x:row r="55">
      <x:c r="A55" s="14"/>
      <x:c r="B55" s="14"/>
      <x:c r="C55" s="14"/>
      <x:c r="D55" s="14"/>
      <x:c r="E55" s="14"/>
      <x:c r="F55" s="22"/>
      <x:c r="G55" s="25"/>
      <x:c r="H55" s="14"/>
      <x:c r="I55" s="14"/>
      <x:c r="J55" s="14"/>
      <x:c r="K55" s="14"/>
      <x:c r="L55" s="14"/>
      <x:c r="M55" s="25"/>
      <x:c r="N55" s="14"/>
    </x:row>
    <x:row r="56">
      <x:c r="A56" s="14"/>
      <x:c r="B56" s="14"/>
      <x:c r="C56" s="14"/>
      <x:c r="D56" s="14"/>
      <x:c r="E56" s="14"/>
      <x:c r="F56" s="22"/>
      <x:c r="G56" s="25"/>
      <x:c r="H56" s="14"/>
      <x:c r="I56" s="14"/>
      <x:c r="J56" s="14"/>
      <x:c r="K56" s="14"/>
      <x:c r="L56" s="14"/>
      <x:c r="M56" s="25"/>
      <x:c r="N56" s="14"/>
    </x:row>
    <x:row r="57">
      <x:c r="A57" s="14"/>
      <x:c r="B57" s="14"/>
      <x:c r="C57" s="14"/>
      <x:c r="D57" s="14"/>
      <x:c r="E57" s="14"/>
      <x:c r="F57" s="22"/>
      <x:c r="G57" s="25"/>
      <x:c r="H57" s="14"/>
      <x:c r="I57" s="14"/>
      <x:c r="J57" s="14"/>
      <x:c r="K57" s="14"/>
      <x:c r="L57" s="14"/>
      <x:c r="M57" s="25"/>
      <x:c r="N57" s="14"/>
    </x:row>
    <x:row r="58">
      <x:c r="A58" s="14"/>
      <x:c r="B58" s="14"/>
      <x:c r="C58" s="14"/>
      <x:c r="D58" s="14"/>
      <x:c r="E58" s="14"/>
      <x:c r="F58" s="22"/>
      <x:c r="G58" s="25"/>
      <x:c r="H58" s="14"/>
      <x:c r="I58" s="14"/>
      <x:c r="J58" s="14"/>
      <x:c r="K58" s="14"/>
      <x:c r="L58" s="14"/>
      <x:c r="M58" s="25"/>
      <x:c r="N58" s="14"/>
    </x:row>
    <x:row r="59">
      <x:c r="A59" s="14"/>
      <x:c r="B59" s="14"/>
      <x:c r="C59" s="14"/>
      <x:c r="D59" s="14"/>
      <x:c r="E59" s="14"/>
      <x:c r="F59" s="22"/>
      <x:c r="G59" s="25"/>
      <x:c r="H59" s="14"/>
      <x:c r="I59" s="14"/>
      <x:c r="J59" s="14"/>
      <x:c r="K59" s="14"/>
      <x:c r="L59" s="14"/>
      <x:c r="M59" s="25"/>
      <x:c r="N59" s="14"/>
    </x:row>
    <x:row r="60">
      <x:c r="A60" s="14"/>
      <x:c r="B60" s="14"/>
      <x:c r="C60" s="14"/>
      <x:c r="D60" s="14"/>
      <x:c r="E60" s="14"/>
      <x:c r="F60" s="22"/>
      <x:c r="G60" s="25"/>
      <x:c r="H60" s="14"/>
      <x:c r="I60" s="14"/>
      <x:c r="J60" s="14"/>
      <x:c r="K60" s="14"/>
      <x:c r="L60" s="14"/>
      <x:c r="M60" s="25"/>
      <x:c r="N60" s="14"/>
    </x:row>
    <x:row r="61">
      <x:c r="A61" s="14"/>
      <x:c r="B61" s="14"/>
      <x:c r="C61" s="14"/>
      <x:c r="D61" s="14"/>
      <x:c r="E61" s="14"/>
      <x:c r="F61" s="22"/>
      <x:c r="G61" s="25"/>
      <x:c r="H61" s="14"/>
      <x:c r="I61" s="14"/>
      <x:c r="J61" s="14"/>
      <x:c r="K61" s="14"/>
      <x:c r="L61" s="14"/>
      <x:c r="M61" s="25"/>
      <x:c r="N61" s="14"/>
    </x:row>
    <x:row r="62">
      <x:c r="A62" s="14"/>
      <x:c r="B62" s="14"/>
      <x:c r="C62" s="14"/>
      <x:c r="D62" s="14"/>
      <x:c r="E62" s="14"/>
      <x:c r="F62" s="22"/>
      <x:c r="G62" s="25"/>
      <x:c r="H62" s="14"/>
      <x:c r="I62" s="14"/>
      <x:c r="J62" s="14"/>
      <x:c r="K62" s="14"/>
      <x:c r="L62" s="14"/>
      <x:c r="M62" s="25"/>
      <x:c r="N62" s="14"/>
    </x:row>
    <x:row r="63">
      <x:c r="A63" s="14"/>
      <x:c r="B63" s="14"/>
      <x:c r="C63" s="14"/>
      <x:c r="D63" s="14"/>
      <x:c r="E63" s="14"/>
      <x:c r="F63" s="22"/>
      <x:c r="G63" s="25"/>
      <x:c r="H63" s="14"/>
      <x:c r="I63" s="14"/>
      <x:c r="J63" s="14"/>
      <x:c r="K63" s="14"/>
      <x:c r="L63" s="14"/>
      <x:c r="M63" s="25"/>
      <x:c r="N63" s="14"/>
    </x:row>
    <x:row r="64">
      <x:c r="A64" s="14"/>
      <x:c r="B64" s="14"/>
      <x:c r="C64" s="14"/>
      <x:c r="D64" s="14"/>
      <x:c r="E64" s="14"/>
      <x:c r="F64" s="22"/>
      <x:c r="G64" s="25"/>
      <x:c r="H64" s="14"/>
      <x:c r="I64" s="14"/>
      <x:c r="J64" s="14"/>
      <x:c r="K64" s="14"/>
      <x:c r="L64" s="14"/>
      <x:c r="M64" s="25"/>
      <x:c r="N64" s="14"/>
    </x:row>
    <x:row r="65">
      <x:c r="A65" s="14"/>
      <x:c r="B65" s="14"/>
      <x:c r="C65" s="14"/>
      <x:c r="D65" s="14"/>
      <x:c r="E65" s="14"/>
      <x:c r="F65" s="22"/>
      <x:c r="G65" s="25"/>
      <x:c r="H65" s="14"/>
      <x:c r="I65" s="14"/>
      <x:c r="J65" s="14"/>
      <x:c r="K65" s="14"/>
      <x:c r="L65" s="14"/>
      <x:c r="M65" s="25"/>
      <x:c r="N65" s="14"/>
    </x:row>
    <x:row r="66">
      <x:c r="A66" s="14"/>
      <x:c r="B66" s="14"/>
      <x:c r="C66" s="14"/>
      <x:c r="D66" s="14"/>
      <x:c r="E66" s="14"/>
      <x:c r="F66" s="22"/>
      <x:c r="G66" s="25"/>
      <x:c r="H66" s="14"/>
      <x:c r="I66" s="14"/>
      <x:c r="J66" s="14"/>
      <x:c r="K66" s="14"/>
      <x:c r="L66" s="14"/>
      <x:c r="M66" s="25"/>
      <x:c r="N66" s="14"/>
    </x:row>
    <x:row r="67">
      <x:c r="A67" s="14"/>
      <x:c r="B67" s="14"/>
      <x:c r="C67" s="14"/>
      <x:c r="D67" s="14"/>
      <x:c r="E67" s="14"/>
      <x:c r="F67" s="22"/>
      <x:c r="G67" s="25"/>
      <x:c r="H67" s="14"/>
      <x:c r="I67" s="14"/>
      <x:c r="J67" s="14"/>
      <x:c r="K67" s="14"/>
      <x:c r="L67" s="14"/>
      <x:c r="M67" s="25"/>
      <x:c r="N67" s="14"/>
    </x:row>
    <x:row r="68">
      <x:c r="A68" s="14"/>
      <x:c r="B68" s="14"/>
      <x:c r="C68" s="14"/>
      <x:c r="D68" s="14"/>
      <x:c r="E68" s="14"/>
      <x:c r="F68" s="22"/>
      <x:c r="G68" s="25"/>
      <x:c r="H68" s="14"/>
      <x:c r="I68" s="14"/>
      <x:c r="J68" s="14"/>
      <x:c r="K68" s="14"/>
      <x:c r="L68" s="14"/>
      <x:c r="M68" s="25"/>
      <x:c r="N68" s="14"/>
    </x:row>
    <x:row r="69">
      <x:c r="A69" s="14"/>
      <x:c r="B69" s="14"/>
      <x:c r="C69" s="14"/>
      <x:c r="D69" s="14"/>
      <x:c r="E69" s="14"/>
      <x:c r="F69" s="22"/>
      <x:c r="G69" s="25"/>
      <x:c r="H69" s="14"/>
      <x:c r="I69" s="14"/>
      <x:c r="J69" s="14"/>
      <x:c r="K69" s="14"/>
      <x:c r="L69" s="14"/>
      <x:c r="M69" s="25"/>
      <x:c r="N69" s="14"/>
    </x:row>
    <x:row r="70">
      <x:c r="A70" s="14"/>
      <x:c r="B70" s="14"/>
      <x:c r="C70" s="14"/>
      <x:c r="D70" s="14"/>
      <x:c r="E70" s="14"/>
      <x:c r="F70" s="22"/>
      <x:c r="G70" s="25"/>
      <x:c r="H70" s="14"/>
      <x:c r="I70" s="14"/>
      <x:c r="J70" s="14"/>
      <x:c r="K70" s="14"/>
      <x:c r="L70" s="14"/>
      <x:c r="M70" s="25"/>
      <x:c r="N70" s="14"/>
    </x:row>
    <x:row r="71">
      <x:c r="A71" s="14"/>
      <x:c r="B71" s="14"/>
      <x:c r="C71" s="14"/>
      <x:c r="D71" s="14"/>
      <x:c r="E71" s="14"/>
      <x:c r="F71" s="22"/>
      <x:c r="G71" s="25"/>
      <x:c r="H71" s="14"/>
      <x:c r="I71" s="14"/>
      <x:c r="J71" s="14"/>
      <x:c r="K71" s="14"/>
      <x:c r="L71" s="14"/>
      <x:c r="M71" s="25"/>
      <x:c r="N71" s="14"/>
    </x:row>
    <x:row r="72">
      <x:c r="A72" s="14"/>
      <x:c r="B72" s="14"/>
      <x:c r="C72" s="14"/>
      <x:c r="D72" s="14"/>
      <x:c r="E72" s="14"/>
      <x:c r="F72" s="22"/>
      <x:c r="G72" s="25"/>
      <x:c r="H72" s="14"/>
      <x:c r="I72" s="14"/>
      <x:c r="J72" s="14"/>
      <x:c r="K72" s="14"/>
      <x:c r="L72" s="14"/>
      <x:c r="M72" s="25"/>
      <x:c r="N72" s="14"/>
    </x:row>
    <x:row r="73">
      <x:c r="A73" s="14"/>
      <x:c r="B73" s="14"/>
      <x:c r="C73" s="14"/>
      <x:c r="D73" s="14"/>
      <x:c r="E73" s="14"/>
      <x:c r="F73" s="22"/>
      <x:c r="G73" s="25"/>
      <x:c r="H73" s="14"/>
      <x:c r="I73" s="14"/>
      <x:c r="J73" s="14"/>
      <x:c r="K73" s="14"/>
      <x:c r="L73" s="14"/>
      <x:c r="M73" s="25"/>
      <x:c r="N73" s="14"/>
    </x:row>
    <x:row r="74">
      <x:c r="A74" s="14"/>
      <x:c r="B74" s="14"/>
      <x:c r="C74" s="14"/>
      <x:c r="D74" s="14"/>
      <x:c r="E74" s="14"/>
      <x:c r="F74" s="22"/>
      <x:c r="G74" s="25"/>
      <x:c r="H74" s="14"/>
      <x:c r="I74" s="14"/>
      <x:c r="J74" s="14"/>
      <x:c r="K74" s="14"/>
      <x:c r="L74" s="14"/>
      <x:c r="M74" s="25"/>
      <x:c r="N74" s="14"/>
    </x:row>
    <x:row r="75">
      <x:c r="A75" s="14"/>
      <x:c r="B75" s="14"/>
      <x:c r="C75" s="14"/>
      <x:c r="D75" s="14"/>
      <x:c r="E75" s="14"/>
      <x:c r="F75" s="22"/>
      <x:c r="G75" s="25"/>
      <x:c r="H75" s="14"/>
      <x:c r="I75" s="14"/>
      <x:c r="J75" s="14"/>
      <x:c r="K75" s="14"/>
      <x:c r="L75" s="14"/>
      <x:c r="M75" s="25"/>
      <x:c r="N75" s="14"/>
    </x:row>
    <x:row r="76">
      <x:c r="A76" s="14"/>
      <x:c r="B76" s="14"/>
      <x:c r="C76" s="14"/>
      <x:c r="D76" s="14"/>
      <x:c r="E76" s="14"/>
      <x:c r="F76" s="22"/>
      <x:c r="G76" s="25"/>
      <x:c r="H76" s="14"/>
      <x:c r="I76" s="14"/>
      <x:c r="J76" s="14"/>
      <x:c r="K76" s="14"/>
      <x:c r="L76" s="14"/>
      <x:c r="M76" s="25"/>
      <x:c r="N76" s="14"/>
    </x:row>
    <x:row r="77">
      <x:c r="A77" s="14"/>
      <x:c r="B77" s="14"/>
      <x:c r="C77" s="14"/>
      <x:c r="D77" s="14"/>
      <x:c r="E77" s="14"/>
      <x:c r="F77" s="22"/>
      <x:c r="G77" s="25"/>
      <x:c r="H77" s="14"/>
      <x:c r="I77" s="14"/>
      <x:c r="J77" s="14"/>
      <x:c r="K77" s="14"/>
      <x:c r="L77" s="14"/>
      <x:c r="M77" s="25"/>
      <x:c r="N77" s="14"/>
    </x:row>
    <x:row r="78">
      <x:c r="A78" s="14"/>
      <x:c r="B78" s="14"/>
      <x:c r="C78" s="14"/>
      <x:c r="D78" s="14"/>
      <x:c r="E78" s="14"/>
      <x:c r="F78" s="22"/>
      <x:c r="G78" s="25"/>
      <x:c r="H78" s="14"/>
      <x:c r="I78" s="14"/>
      <x:c r="J78" s="14"/>
      <x:c r="K78" s="14"/>
      <x:c r="L78" s="14"/>
      <x:c r="M78" s="25"/>
      <x:c r="N78" s="14"/>
    </x:row>
    <x:row r="79">
      <x:c r="A79" s="14"/>
      <x:c r="B79" s="14"/>
      <x:c r="C79" s="14"/>
      <x:c r="D79" s="14"/>
      <x:c r="E79" s="14"/>
      <x:c r="F79" s="22"/>
      <x:c r="G79" s="25"/>
      <x:c r="H79" s="14"/>
      <x:c r="I79" s="14"/>
      <x:c r="J79" s="14"/>
      <x:c r="K79" s="14"/>
      <x:c r="L79" s="14"/>
      <x:c r="M79" s="25"/>
      <x:c r="N79" s="14"/>
    </x:row>
    <x:row r="80">
      <x:c r="A80" s="14"/>
      <x:c r="B80" s="14"/>
      <x:c r="C80" s="14"/>
      <x:c r="D80" s="14"/>
      <x:c r="E80" s="14"/>
      <x:c r="F80" s="22"/>
      <x:c r="G80" s="25"/>
      <x:c r="H80" s="14"/>
      <x:c r="I80" s="14"/>
      <x:c r="J80" s="14"/>
      <x:c r="K80" s="14"/>
      <x:c r="L80" s="14"/>
      <x:c r="M80" s="25"/>
      <x:c r="N80" s="14"/>
    </x:row>
    <x:row r="81">
      <x:c r="A81" s="14"/>
      <x:c r="B81" s="14"/>
      <x:c r="C81" s="14"/>
      <x:c r="D81" s="14"/>
      <x:c r="E81" s="14"/>
      <x:c r="F81" s="22"/>
      <x:c r="G81" s="25"/>
      <x:c r="H81" s="14"/>
      <x:c r="I81" s="14"/>
      <x:c r="J81" s="14"/>
      <x:c r="K81" s="14"/>
      <x:c r="L81" s="14"/>
      <x:c r="M81" s="25"/>
      <x:c r="N81" s="14"/>
    </x:row>
    <x:row r="82">
      <x:c r="A82" s="14"/>
      <x:c r="B82" s="14"/>
      <x:c r="C82" s="14"/>
      <x:c r="D82" s="14"/>
      <x:c r="E82" s="14"/>
      <x:c r="F82" s="22"/>
      <x:c r="G82" s="25"/>
      <x:c r="H82" s="14"/>
      <x:c r="I82" s="14"/>
      <x:c r="J82" s="14"/>
      <x:c r="K82" s="14"/>
      <x:c r="L82" s="14"/>
      <x:c r="M82" s="25"/>
      <x:c r="N82" s="14"/>
    </x:row>
    <x:row r="83">
      <x:c r="A83" s="14"/>
      <x:c r="B83" s="14"/>
      <x:c r="C83" s="14"/>
      <x:c r="D83" s="14"/>
      <x:c r="E83" s="14"/>
      <x:c r="F83" s="22"/>
      <x:c r="G83" s="25"/>
      <x:c r="H83" s="14"/>
      <x:c r="I83" s="14"/>
      <x:c r="J83" s="14"/>
      <x:c r="K83" s="14"/>
      <x:c r="L83" s="14"/>
      <x:c r="M83" s="25"/>
      <x:c r="N83" s="14"/>
    </x:row>
    <x:row r="84">
      <x:c r="A84" s="14"/>
      <x:c r="B84" s="14"/>
      <x:c r="C84" s="14"/>
      <x:c r="D84" s="14"/>
      <x:c r="E84" s="14"/>
      <x:c r="F84" s="22"/>
      <x:c r="G84" s="25"/>
      <x:c r="H84" s="14"/>
      <x:c r="I84" s="14"/>
      <x:c r="J84" s="14"/>
      <x:c r="K84" s="14"/>
      <x:c r="L84" s="14"/>
      <x:c r="M84" s="25"/>
      <x:c r="N84" s="14"/>
    </x:row>
    <x:row r="85">
      <x:c r="A85" s="14"/>
      <x:c r="B85" s="14"/>
      <x:c r="C85" s="14"/>
      <x:c r="D85" s="14"/>
      <x:c r="E85" s="14"/>
      <x:c r="F85" s="22"/>
      <x:c r="G85" s="25"/>
      <x:c r="H85" s="14"/>
      <x:c r="I85" s="14"/>
      <x:c r="J85" s="14"/>
      <x:c r="K85" s="14"/>
      <x:c r="L85" s="14"/>
      <x:c r="M85" s="25"/>
      <x:c r="N85" s="14"/>
    </x:row>
    <x:row r="86">
      <x:c r="A86" s="14"/>
      <x:c r="B86" s="14"/>
      <x:c r="C86" s="14"/>
      <x:c r="D86" s="14"/>
      <x:c r="E86" s="14"/>
      <x:c r="F86" s="22"/>
      <x:c r="G86" s="25"/>
      <x:c r="H86" s="14"/>
      <x:c r="I86" s="14"/>
      <x:c r="J86" s="14"/>
      <x:c r="K86" s="14"/>
      <x:c r="L86" s="14"/>
      <x:c r="M86" s="25"/>
      <x:c r="N86" s="14"/>
    </x:row>
    <x:row r="87">
      <x:c r="A87" s="14"/>
      <x:c r="B87" s="14"/>
      <x:c r="C87" s="14"/>
      <x:c r="D87" s="14"/>
      <x:c r="E87" s="14"/>
      <x:c r="F87" s="22"/>
      <x:c r="G87" s="25"/>
      <x:c r="H87" s="14"/>
      <x:c r="I87" s="14"/>
      <x:c r="J87" s="14"/>
      <x:c r="K87" s="14"/>
      <x:c r="L87" s="14"/>
      <x:c r="M87" s="25"/>
      <x:c r="N87" s="14"/>
    </x:row>
    <x:row r="88">
      <x:c r="A88" s="14"/>
      <x:c r="B88" s="14"/>
      <x:c r="C88" s="14"/>
      <x:c r="D88" s="14"/>
      <x:c r="E88" s="14"/>
      <x:c r="F88" s="22"/>
      <x:c r="G88" s="25"/>
      <x:c r="H88" s="14"/>
      <x:c r="I88" s="14"/>
      <x:c r="J88" s="14"/>
      <x:c r="K88" s="14"/>
      <x:c r="L88" s="14"/>
      <x:c r="M88" s="25"/>
      <x:c r="N88" s="14"/>
    </x:row>
    <x:row r="89">
      <x:c r="A89" s="14"/>
      <x:c r="B89" s="14"/>
      <x:c r="C89" s="14"/>
      <x:c r="D89" s="14"/>
      <x:c r="E89" s="14"/>
      <x:c r="F89" s="22"/>
      <x:c r="G89" s="25"/>
      <x:c r="H89" s="14"/>
      <x:c r="I89" s="14"/>
      <x:c r="J89" s="14"/>
      <x:c r="K89" s="14"/>
      <x:c r="L89" s="14"/>
      <x:c r="M89" s="25"/>
      <x:c r="N89" s="14"/>
    </x:row>
    <x:row r="90">
      <x:c r="A90" s="14"/>
      <x:c r="B90" s="14"/>
      <x:c r="C90" s="14"/>
      <x:c r="D90" s="14"/>
      <x:c r="E90" s="14"/>
      <x:c r="F90" s="22"/>
      <x:c r="G90" s="25"/>
      <x:c r="H90" s="14"/>
      <x:c r="I90" s="14"/>
      <x:c r="J90" s="14"/>
      <x:c r="K90" s="14"/>
      <x:c r="L90" s="14"/>
      <x:c r="M90" s="25"/>
      <x:c r="N90" s="14"/>
    </x:row>
    <x:row r="91">
      <x:c r="A91" s="14"/>
      <x:c r="B91" s="14"/>
      <x:c r="C91" s="14"/>
      <x:c r="D91" s="14"/>
      <x:c r="E91" s="14"/>
      <x:c r="F91" s="22"/>
      <x:c r="G91" s="25"/>
      <x:c r="H91" s="14"/>
      <x:c r="I91" s="14"/>
      <x:c r="J91" s="14"/>
      <x:c r="K91" s="14"/>
      <x:c r="L91" s="14"/>
      <x:c r="M91" s="25"/>
      <x:c r="N91" s="14"/>
    </x:row>
    <x:row r="92">
      <x:c r="A92" s="14"/>
      <x:c r="B92" s="14"/>
      <x:c r="C92" s="14"/>
      <x:c r="D92" s="14"/>
      <x:c r="E92" s="14"/>
      <x:c r="F92" s="22"/>
      <x:c r="G92" s="25"/>
      <x:c r="H92" s="14"/>
      <x:c r="I92" s="14"/>
      <x:c r="J92" s="14"/>
      <x:c r="K92" s="14"/>
      <x:c r="L92" s="14"/>
      <x:c r="M92" s="25"/>
      <x:c r="N92" s="14"/>
    </x:row>
    <x:row r="93">
      <x:c r="A93" s="14"/>
      <x:c r="B93" s="14"/>
      <x:c r="C93" s="14"/>
      <x:c r="D93" s="14"/>
      <x:c r="E93" s="14"/>
      <x:c r="F93" s="22"/>
      <x:c r="G93" s="25"/>
      <x:c r="H93" s="14"/>
      <x:c r="I93" s="14"/>
      <x:c r="J93" s="14"/>
      <x:c r="K93" s="14"/>
      <x:c r="L93" s="14"/>
      <x:c r="M93" s="25"/>
      <x:c r="N93" s="14"/>
    </x:row>
    <x:row r="94">
      <x:c r="A94" s="14"/>
      <x:c r="B94" s="14"/>
      <x:c r="C94" s="14"/>
      <x:c r="D94" s="14"/>
      <x:c r="E94" s="14"/>
      <x:c r="F94" s="22"/>
      <x:c r="G94" s="25"/>
      <x:c r="H94" s="14"/>
      <x:c r="I94" s="14"/>
      <x:c r="J94" s="14"/>
      <x:c r="K94" s="14"/>
      <x:c r="L94" s="14"/>
      <x:c r="M94" s="25"/>
      <x:c r="N94" s="14"/>
    </x:row>
    <x:row r="95">
      <x:c r="A95" s="14"/>
      <x:c r="B95" s="14"/>
      <x:c r="C95" s="14"/>
      <x:c r="D95" s="14"/>
      <x:c r="E95" s="14"/>
      <x:c r="F95" s="22"/>
      <x:c r="G95" s="25"/>
      <x:c r="H95" s="14"/>
      <x:c r="I95" s="14"/>
      <x:c r="J95" s="14"/>
      <x:c r="K95" s="14"/>
      <x:c r="L95" s="14"/>
      <x:c r="M95" s="25"/>
      <x:c r="N95" s="14"/>
    </x:row>
    <x:row r="96">
      <x:c r="A96" s="14"/>
      <x:c r="B96" s="14"/>
      <x:c r="C96" s="14"/>
      <x:c r="D96" s="14"/>
      <x:c r="E96" s="14"/>
      <x:c r="F96" s="22"/>
      <x:c r="G96" s="25"/>
      <x:c r="H96" s="14"/>
      <x:c r="I96" s="14"/>
      <x:c r="J96" s="14"/>
      <x:c r="K96" s="14"/>
      <x:c r="L96" s="14"/>
      <x:c r="M96" s="25"/>
      <x:c r="N96" s="14"/>
    </x:row>
    <x:row r="97">
      <x:c r="A97" s="14"/>
      <x:c r="B97" s="14"/>
      <x:c r="C97" s="14"/>
      <x:c r="D97" s="14"/>
      <x:c r="E97" s="14"/>
      <x:c r="F97" s="22"/>
      <x:c r="G97" s="25"/>
      <x:c r="H97" s="14"/>
      <x:c r="I97" s="14"/>
      <x:c r="J97" s="14"/>
      <x:c r="K97" s="14"/>
      <x:c r="L97" s="14"/>
      <x:c r="M97" s="25"/>
      <x:c r="N97" s="14"/>
    </x:row>
    <x:row r="98">
      <x:c r="A98" s="14"/>
      <x:c r="B98" s="14"/>
      <x:c r="C98" s="14"/>
      <x:c r="D98" s="14"/>
      <x:c r="E98" s="14"/>
      <x:c r="F98" s="22"/>
      <x:c r="G98" s="25"/>
      <x:c r="H98" s="14"/>
      <x:c r="I98" s="14"/>
      <x:c r="J98" s="14"/>
      <x:c r="K98" s="14"/>
      <x:c r="L98" s="14"/>
      <x:c r="M98" s="25"/>
      <x:c r="N98" s="14"/>
    </x:row>
    <x:row r="99">
      <x:c r="A99" s="14"/>
      <x:c r="B99" s="14"/>
      <x:c r="C99" s="14"/>
      <x:c r="D99" s="14"/>
      <x:c r="E99" s="14"/>
      <x:c r="F99" s="22"/>
      <x:c r="G99" s="25"/>
      <x:c r="H99" s="14"/>
      <x:c r="I99" s="14"/>
      <x:c r="J99" s="14"/>
      <x:c r="K99" s="14"/>
      <x:c r="L99" s="14"/>
      <x:c r="M99" s="25"/>
      <x:c r="N99" s="14"/>
    </x:row>
    <x:row r="100">
      <x:c r="A100" s="14"/>
      <x:c r="B100" s="14"/>
      <x:c r="C100" s="14"/>
      <x:c r="D100" s="14"/>
      <x:c r="E100" s="14"/>
      <x:c r="F100" s="22"/>
      <x:c r="G100" s="25"/>
      <x:c r="H100" s="14"/>
      <x:c r="I100" s="14"/>
      <x:c r="J100" s="14"/>
      <x:c r="K100" s="14"/>
      <x:c r="L100" s="14"/>
      <x:c r="M100" s="25"/>
      <x:c r="N100" s="14"/>
    </x:row>
    <x:row r="101">
      <x:c r="A101" s="14"/>
      <x:c r="B101" s="14"/>
      <x:c r="C101" s="14"/>
      <x:c r="D101" s="14"/>
      <x:c r="E101" s="14"/>
      <x:c r="F101" s="22"/>
      <x:c r="G101" s="25"/>
      <x:c r="H101" s="14"/>
      <x:c r="I101" s="14"/>
      <x:c r="J101" s="14"/>
      <x:c r="K101" s="14"/>
      <x:c r="L101" s="14"/>
      <x:c r="M101" s="25"/>
      <x:c r="N101" s="14"/>
    </x:row>
    <x:row r="102">
      <x:c r="A102" s="14"/>
      <x:c r="B102" s="14"/>
      <x:c r="C102" s="14"/>
      <x:c r="D102" s="14"/>
      <x:c r="E102" s="14"/>
      <x:c r="F102" s="22"/>
      <x:c r="G102" s="25"/>
      <x:c r="H102" s="14"/>
      <x:c r="I102" s="14"/>
      <x:c r="J102" s="14"/>
      <x:c r="K102" s="14"/>
      <x:c r="L102" s="14"/>
      <x:c r="M102" s="25"/>
      <x:c r="N102" s="14"/>
    </x:row>
    <x:row r="103">
      <x:c r="A103" s="14"/>
      <x:c r="B103" s="14"/>
      <x:c r="C103" s="14"/>
      <x:c r="D103" s="14"/>
      <x:c r="E103" s="14"/>
      <x:c r="F103" s="22"/>
      <x:c r="G103" s="25"/>
      <x:c r="H103" s="14"/>
      <x:c r="I103" s="14"/>
      <x:c r="J103" s="14"/>
      <x:c r="K103" s="14"/>
      <x:c r="L103" s="14"/>
      <x:c r="M103" s="25"/>
      <x:c r="N103" s="14"/>
    </x:row>
    <x:row r="104">
      <x:c r="A104" s="14"/>
      <x:c r="B104" s="14"/>
      <x:c r="C104" s="14"/>
      <x:c r="D104" s="14"/>
      <x:c r="E104" s="14"/>
      <x:c r="F104" s="22"/>
      <x:c r="G104" s="25"/>
      <x:c r="H104" s="14"/>
      <x:c r="I104" s="14"/>
      <x:c r="J104" s="14"/>
      <x:c r="K104" s="14"/>
      <x:c r="L104" s="14"/>
      <x:c r="M104" s="25"/>
      <x:c r="N104" s="14"/>
    </x:row>
    <x:row r="105">
      <x:c r="A105" s="14"/>
      <x:c r="B105" s="14"/>
      <x:c r="C105" s="14"/>
      <x:c r="D105" s="14"/>
      <x:c r="E105" s="14"/>
      <x:c r="F105" s="22"/>
      <x:c r="G105" s="25"/>
      <x:c r="H105" s="14"/>
      <x:c r="I105" s="14"/>
      <x:c r="J105" s="14"/>
      <x:c r="K105" s="14"/>
      <x:c r="L105" s="14"/>
      <x:c r="M105" s="25"/>
      <x:c r="N105" s="14"/>
    </x:row>
    <x:row r="106">
      <x:c r="A106" s="14"/>
      <x:c r="B106" s="14"/>
      <x:c r="C106" s="14"/>
      <x:c r="D106" s="14"/>
      <x:c r="E106" s="14"/>
      <x:c r="F106" s="22"/>
      <x:c r="G106" s="25"/>
      <x:c r="H106" s="14"/>
      <x:c r="I106" s="14"/>
      <x:c r="J106" s="14"/>
      <x:c r="K106" s="14"/>
      <x:c r="L106" s="14"/>
      <x:c r="M106" s="25"/>
      <x:c r="N106" s="14"/>
    </x:row>
    <x:row r="107">
      <x:c r="A107" s="14"/>
      <x:c r="B107" s="14"/>
      <x:c r="C107" s="14"/>
      <x:c r="D107" s="14"/>
      <x:c r="E107" s="14"/>
      <x:c r="F107" s="22"/>
      <x:c r="G107" s="25"/>
      <x:c r="H107" s="14"/>
      <x:c r="I107" s="14"/>
      <x:c r="J107" s="14"/>
      <x:c r="K107" s="14"/>
      <x:c r="L107" s="14"/>
      <x:c r="M107" s="25"/>
      <x:c r="N107" s="14"/>
    </x:row>
    <x:row r="108">
      <x:c r="A108" s="14"/>
      <x:c r="B108" s="14"/>
      <x:c r="C108" s="14"/>
      <x:c r="D108" s="14"/>
      <x:c r="E108" s="14"/>
      <x:c r="F108" s="22"/>
      <x:c r="G108" s="25"/>
      <x:c r="H108" s="14"/>
      <x:c r="I108" s="14"/>
      <x:c r="J108" s="14"/>
      <x:c r="K108" s="14"/>
      <x:c r="L108" s="14"/>
      <x:c r="M108" s="25"/>
      <x:c r="N108" s="14"/>
    </x:row>
    <x:row r="109">
      <x:c r="A109" s="14"/>
      <x:c r="B109" s="14"/>
      <x:c r="C109" s="14"/>
      <x:c r="D109" s="14"/>
      <x:c r="E109" s="14"/>
      <x:c r="F109" s="22"/>
      <x:c r="G109" s="25"/>
      <x:c r="H109" s="14"/>
      <x:c r="I109" s="14"/>
      <x:c r="J109" s="14"/>
      <x:c r="K109" s="14"/>
      <x:c r="L109" s="14"/>
      <x:c r="M109" s="25"/>
      <x:c r="N109" s="14"/>
    </x:row>
    <x:row r="110">
      <x:c r="A110" s="14"/>
      <x:c r="B110" s="14"/>
      <x:c r="C110" s="14"/>
      <x:c r="D110" s="14"/>
      <x:c r="E110" s="14"/>
      <x:c r="F110" s="22"/>
      <x:c r="G110" s="25"/>
      <x:c r="H110" s="14"/>
      <x:c r="I110" s="14"/>
      <x:c r="J110" s="14"/>
      <x:c r="K110" s="14"/>
      <x:c r="L110" s="14"/>
      <x:c r="M110" s="25"/>
      <x:c r="N110" s="14"/>
    </x:row>
    <x:row r="111">
      <x:c r="A111" s="14"/>
      <x:c r="B111" s="14"/>
      <x:c r="C111" s="14"/>
      <x:c r="D111" s="14"/>
      <x:c r="E111" s="14"/>
      <x:c r="F111" s="22"/>
      <x:c r="G111" s="25"/>
      <x:c r="H111" s="14"/>
      <x:c r="I111" s="14"/>
      <x:c r="J111" s="14"/>
      <x:c r="K111" s="14"/>
      <x:c r="L111" s="14"/>
      <x:c r="M111" s="25"/>
      <x:c r="N111" s="14"/>
    </x:row>
    <x:row r="112">
      <x:c r="A112" s="14"/>
      <x:c r="B112" s="14"/>
      <x:c r="C112" s="14"/>
      <x:c r="D112" s="14"/>
      <x:c r="E112" s="14"/>
      <x:c r="F112" s="22"/>
      <x:c r="G112" s="25"/>
      <x:c r="H112" s="14"/>
      <x:c r="I112" s="14"/>
      <x:c r="J112" s="14"/>
      <x:c r="K112" s="14"/>
      <x:c r="L112" s="14"/>
      <x:c r="M112" s="25"/>
      <x:c r="N112" s="14"/>
    </x:row>
    <x:row r="113">
      <x:c r="A113" s="14"/>
      <x:c r="B113" s="14"/>
      <x:c r="C113" s="14"/>
      <x:c r="D113" s="14"/>
      <x:c r="E113" s="14"/>
      <x:c r="F113" s="22"/>
      <x:c r="G113" s="25"/>
      <x:c r="H113" s="14"/>
      <x:c r="I113" s="14"/>
      <x:c r="J113" s="14"/>
      <x:c r="K113" s="14"/>
      <x:c r="L113" s="14"/>
      <x:c r="M113" s="25"/>
      <x:c r="N113" s="14"/>
    </x:row>
    <x:row r="114">
      <x:c r="A114" s="14"/>
      <x:c r="B114" s="14"/>
      <x:c r="C114" s="14"/>
      <x:c r="D114" s="14"/>
      <x:c r="E114" s="14"/>
      <x:c r="F114" s="22"/>
      <x:c r="G114" s="25"/>
      <x:c r="H114" s="14"/>
      <x:c r="I114" s="14"/>
      <x:c r="J114" s="14"/>
      <x:c r="K114" s="14"/>
      <x:c r="L114" s="14"/>
      <x:c r="M114" s="25"/>
      <x:c r="N114" s="14"/>
    </x:row>
    <x:row r="115">
      <x:c r="A115" s="14"/>
      <x:c r="B115" s="14"/>
      <x:c r="C115" s="14"/>
      <x:c r="D115" s="14"/>
      <x:c r="E115" s="14"/>
      <x:c r="F115" s="22"/>
      <x:c r="G115" s="25"/>
      <x:c r="H115" s="14"/>
      <x:c r="I115" s="14"/>
      <x:c r="J115" s="14"/>
      <x:c r="K115" s="14"/>
      <x:c r="L115" s="14"/>
      <x:c r="M115" s="25"/>
      <x:c r="N115" s="14"/>
    </x:row>
    <x:row r="116">
      <x:c r="A116" s="14"/>
      <x:c r="B116" s="14"/>
      <x:c r="C116" s="14"/>
      <x:c r="D116" s="14"/>
      <x:c r="E116" s="14"/>
      <x:c r="F116" s="22"/>
      <x:c r="G116" s="25"/>
      <x:c r="H116" s="14"/>
      <x:c r="I116" s="14"/>
      <x:c r="J116" s="14"/>
      <x:c r="K116" s="14"/>
      <x:c r="L116" s="14"/>
      <x:c r="M116" s="25"/>
      <x:c r="N116" s="14"/>
    </x:row>
    <x:row r="117">
      <x:c r="A117" s="14"/>
      <x:c r="B117" s="14"/>
      <x:c r="C117" s="14"/>
      <x:c r="D117" s="14"/>
      <x:c r="E117" s="14"/>
      <x:c r="F117" s="22"/>
      <x:c r="G117" s="25"/>
      <x:c r="H117" s="14"/>
      <x:c r="I117" s="14"/>
      <x:c r="J117" s="14"/>
      <x:c r="K117" s="14"/>
      <x:c r="L117" s="14"/>
      <x:c r="M117" s="25"/>
      <x:c r="N117" s="14"/>
    </x:row>
    <x:row r="118">
      <x:c r="A118" s="14"/>
      <x:c r="B118" s="14"/>
      <x:c r="C118" s="14"/>
      <x:c r="D118" s="14"/>
      <x:c r="E118" s="14"/>
      <x:c r="F118" s="22"/>
      <x:c r="G118" s="25"/>
      <x:c r="H118" s="14"/>
      <x:c r="I118" s="14"/>
      <x:c r="J118" s="14"/>
      <x:c r="K118" s="14"/>
      <x:c r="L118" s="14"/>
      <x:c r="M118" s="25"/>
      <x:c r="N118" s="14"/>
    </x:row>
    <x:row r="119">
      <x:c r="A119" s="14"/>
      <x:c r="B119" s="14"/>
      <x:c r="C119" s="14"/>
      <x:c r="D119" s="14"/>
      <x:c r="E119" s="14"/>
      <x:c r="F119" s="22"/>
      <x:c r="G119" s="25"/>
      <x:c r="H119" s="14"/>
      <x:c r="I119" s="14"/>
      <x:c r="J119" s="14"/>
      <x:c r="K119" s="14"/>
      <x:c r="L119" s="14"/>
      <x:c r="M119" s="25"/>
      <x:c r="N119" s="14"/>
    </x:row>
    <x:row r="120">
      <x:c r="A120" s="14"/>
      <x:c r="B120" s="14"/>
      <x:c r="C120" s="14"/>
      <x:c r="D120" s="14"/>
      <x:c r="E120" s="14"/>
      <x:c r="F120" s="22"/>
      <x:c r="G120" s="25"/>
      <x:c r="H120" s="14"/>
      <x:c r="I120" s="14"/>
      <x:c r="J120" s="14"/>
      <x:c r="K120" s="14"/>
      <x:c r="L120" s="14"/>
      <x:c r="M120" s="25"/>
      <x:c r="N120" s="14"/>
    </x:row>
    <x:row r="121">
      <x:c r="A121" s="14"/>
      <x:c r="B121" s="14"/>
      <x:c r="C121" s="14"/>
      <x:c r="D121" s="14"/>
      <x:c r="E121" s="14"/>
      <x:c r="F121" s="22"/>
      <x:c r="G121" s="25"/>
      <x:c r="H121" s="14"/>
      <x:c r="I121" s="14"/>
      <x:c r="J121" s="14"/>
      <x:c r="K121" s="14"/>
      <x:c r="L121" s="14"/>
      <x:c r="M121" s="25"/>
      <x:c r="N121" s="14"/>
    </x:row>
    <x:row r="122">
      <x:c r="A122" s="14"/>
      <x:c r="B122" s="14"/>
      <x:c r="C122" s="14"/>
      <x:c r="D122" s="14"/>
      <x:c r="E122" s="14"/>
      <x:c r="F122" s="22"/>
      <x:c r="G122" s="25"/>
      <x:c r="H122" s="14"/>
      <x:c r="I122" s="14"/>
      <x:c r="J122" s="14"/>
      <x:c r="K122" s="14"/>
      <x:c r="L122" s="14"/>
      <x:c r="M122" s="25"/>
      <x:c r="N122" s="14"/>
    </x:row>
    <x:row r="123">
      <x:c r="A123" s="14"/>
      <x:c r="B123" s="14"/>
      <x:c r="C123" s="14"/>
      <x:c r="D123" s="14"/>
      <x:c r="E123" s="14"/>
      <x:c r="F123" s="22"/>
      <x:c r="G123" s="25"/>
      <x:c r="H123" s="14"/>
      <x:c r="I123" s="14"/>
      <x:c r="J123" s="14"/>
      <x:c r="K123" s="14"/>
      <x:c r="L123" s="14"/>
      <x:c r="M123" s="25"/>
      <x:c r="N123" s="14"/>
    </x:row>
    <x:row r="124">
      <x:c r="A124" s="14"/>
      <x:c r="B124" s="14"/>
      <x:c r="C124" s="14"/>
      <x:c r="D124" s="14"/>
      <x:c r="E124" s="14"/>
      <x:c r="F124" s="22"/>
      <x:c r="G124" s="25"/>
      <x:c r="H124" s="14"/>
      <x:c r="I124" s="14"/>
      <x:c r="J124" s="14"/>
      <x:c r="K124" s="14"/>
      <x:c r="L124" s="14"/>
      <x:c r="M124" s="25"/>
      <x:c r="N124" s="14"/>
    </x:row>
    <x:row r="125">
      <x:c r="A125" s="14"/>
      <x:c r="B125" s="14"/>
      <x:c r="C125" s="14"/>
      <x:c r="D125" s="14"/>
      <x:c r="E125" s="14"/>
      <x:c r="F125" s="22"/>
      <x:c r="G125" s="25"/>
      <x:c r="H125" s="14"/>
      <x:c r="I125" s="14"/>
      <x:c r="J125" s="14"/>
      <x:c r="K125" s="14"/>
      <x:c r="L125" s="14"/>
      <x:c r="M125" s="25"/>
      <x:c r="N125" s="14"/>
    </x:row>
    <x:row r="126">
      <x:c r="A126" s="14"/>
      <x:c r="B126" s="14"/>
      <x:c r="C126" s="14"/>
      <x:c r="D126" s="14"/>
      <x:c r="E126" s="14"/>
      <x:c r="F126" s="22"/>
      <x:c r="G126" s="25"/>
      <x:c r="H126" s="14"/>
      <x:c r="I126" s="14"/>
      <x:c r="J126" s="14"/>
      <x:c r="K126" s="14"/>
      <x:c r="L126" s="14"/>
      <x:c r="M126" s="25"/>
      <x:c r="N126" s="14"/>
    </x:row>
    <x:row r="127">
      <x:c r="A127" s="14"/>
      <x:c r="B127" s="14"/>
      <x:c r="C127" s="14"/>
      <x:c r="D127" s="14"/>
      <x:c r="E127" s="14"/>
      <x:c r="F127" s="22"/>
      <x:c r="G127" s="25"/>
      <x:c r="H127" s="14"/>
      <x:c r="I127" s="14"/>
      <x:c r="J127" s="14"/>
      <x:c r="K127" s="14"/>
      <x:c r="L127" s="14"/>
      <x:c r="M127" s="25"/>
      <x:c r="N127" s="14"/>
    </x:row>
    <x:row r="128">
      <x:c r="A128" s="14"/>
      <x:c r="B128" s="14"/>
      <x:c r="C128" s="14"/>
      <x:c r="D128" s="14"/>
      <x:c r="E128" s="14"/>
      <x:c r="F128" s="22"/>
      <x:c r="G128" s="25"/>
      <x:c r="H128" s="14"/>
      <x:c r="I128" s="14"/>
      <x:c r="J128" s="14"/>
      <x:c r="K128" s="14"/>
      <x:c r="L128" s="14"/>
      <x:c r="M128" s="25"/>
      <x:c r="N128" s="14"/>
    </x:row>
    <x:row r="129">
      <x:c r="A129" s="14"/>
      <x:c r="B129" s="14"/>
      <x:c r="C129" s="14"/>
      <x:c r="D129" s="14"/>
      <x:c r="E129" s="14"/>
      <x:c r="F129" s="22"/>
      <x:c r="G129" s="25"/>
      <x:c r="H129" s="14"/>
      <x:c r="I129" s="14"/>
      <x:c r="J129" s="14"/>
      <x:c r="K129" s="14"/>
      <x:c r="L129" s="14"/>
      <x:c r="M129" s="25"/>
      <x:c r="N129" s="14"/>
    </x:row>
    <x:row r="130">
      <x:c r="A130" s="14"/>
      <x:c r="B130" s="14"/>
      <x:c r="C130" s="14"/>
      <x:c r="D130" s="14"/>
      <x:c r="E130" s="14"/>
      <x:c r="F130" s="22"/>
      <x:c r="G130" s="25"/>
      <x:c r="H130" s="14"/>
      <x:c r="I130" s="14"/>
      <x:c r="J130" s="14"/>
      <x:c r="K130" s="14"/>
      <x:c r="L130" s="14"/>
      <x:c r="M130" s="25"/>
      <x:c r="N130" s="14"/>
    </x:row>
    <x:row r="131">
      <x:c r="A131" s="14"/>
      <x:c r="B131" s="14"/>
      <x:c r="C131" s="14"/>
      <x:c r="D131" s="14"/>
      <x:c r="E131" s="14"/>
      <x:c r="F131" s="22"/>
      <x:c r="G131" s="25"/>
      <x:c r="H131" s="14"/>
      <x:c r="I131" s="14"/>
      <x:c r="J131" s="14"/>
      <x:c r="K131" s="14"/>
      <x:c r="L131" s="14"/>
      <x:c r="M131" s="25"/>
      <x:c r="N131" s="14"/>
    </x:row>
    <x:row r="132">
      <x:c r="A132" s="14"/>
      <x:c r="B132" s="14"/>
      <x:c r="C132" s="14"/>
      <x:c r="D132" s="14"/>
      <x:c r="E132" s="14"/>
      <x:c r="F132" s="22"/>
      <x:c r="G132" s="25"/>
      <x:c r="H132" s="14"/>
      <x:c r="I132" s="14"/>
      <x:c r="J132" s="14"/>
      <x:c r="K132" s="14"/>
      <x:c r="L132" s="14"/>
      <x:c r="M132" s="25"/>
      <x:c r="N132" s="14"/>
    </x:row>
    <x:row r="133">
      <x:c r="A133" s="14"/>
      <x:c r="B133" s="14"/>
      <x:c r="C133" s="14"/>
      <x:c r="D133" s="14"/>
      <x:c r="E133" s="14"/>
      <x:c r="F133" s="22"/>
      <x:c r="G133" s="25"/>
      <x:c r="H133" s="14"/>
      <x:c r="I133" s="14"/>
      <x:c r="J133" s="14"/>
      <x:c r="K133" s="14"/>
      <x:c r="L133" s="14"/>
      <x:c r="M133" s="25"/>
      <x:c r="N133" s="14"/>
    </x:row>
    <x:row r="134">
      <x:c r="A134" s="14"/>
      <x:c r="B134" s="14"/>
      <x:c r="C134" s="14"/>
      <x:c r="D134" s="14"/>
      <x:c r="E134" s="14"/>
      <x:c r="F134" s="22"/>
      <x:c r="G134" s="25"/>
      <x:c r="H134" s="14"/>
      <x:c r="I134" s="14"/>
      <x:c r="J134" s="14"/>
      <x:c r="K134" s="14"/>
      <x:c r="L134" s="14"/>
      <x:c r="M134" s="25"/>
      <x:c r="N134" s="14"/>
    </x:row>
    <x:row r="135">
      <x:c r="A135" s="14"/>
      <x:c r="B135" s="14"/>
      <x:c r="C135" s="14"/>
      <x:c r="D135" s="14"/>
      <x:c r="E135" s="14"/>
      <x:c r="F135" s="22"/>
      <x:c r="G135" s="25"/>
      <x:c r="H135" s="14"/>
      <x:c r="I135" s="14"/>
      <x:c r="J135" s="14"/>
      <x:c r="K135" s="14"/>
      <x:c r="L135" s="14"/>
      <x:c r="M135" s="25"/>
      <x:c r="N135" s="14"/>
    </x:row>
    <x:row r="136">
      <x:c r="A136" s="14"/>
      <x:c r="B136" s="14"/>
      <x:c r="C136" s="14"/>
      <x:c r="D136" s="14"/>
      <x:c r="E136" s="14"/>
      <x:c r="F136" s="22"/>
      <x:c r="G136" s="25"/>
      <x:c r="H136" s="14"/>
      <x:c r="I136" s="14"/>
      <x:c r="J136" s="14"/>
      <x:c r="K136" s="14"/>
      <x:c r="L136" s="14"/>
      <x:c r="M136" s="25"/>
      <x:c r="N136" s="14"/>
    </x:row>
    <x:row r="137">
      <x:c r="A137" s="14"/>
      <x:c r="B137" s="14"/>
      <x:c r="C137" s="14"/>
      <x:c r="D137" s="14"/>
      <x:c r="E137" s="14"/>
      <x:c r="F137" s="22"/>
      <x:c r="G137" s="25"/>
      <x:c r="H137" s="14"/>
      <x:c r="I137" s="14"/>
      <x:c r="J137" s="14"/>
      <x:c r="K137" s="14"/>
      <x:c r="L137" s="14"/>
      <x:c r="M137" s="25"/>
      <x:c r="N137" s="14"/>
    </x:row>
    <x:row r="138">
      <x:c r="A138" s="14"/>
      <x:c r="B138" s="14"/>
      <x:c r="C138" s="14"/>
      <x:c r="D138" s="14"/>
      <x:c r="E138" s="14"/>
      <x:c r="F138" s="22"/>
      <x:c r="G138" s="25"/>
      <x:c r="H138" s="14"/>
      <x:c r="I138" s="14"/>
      <x:c r="J138" s="14"/>
      <x:c r="K138" s="14"/>
      <x:c r="L138" s="14"/>
      <x:c r="M138" s="25"/>
      <x:c r="N138" s="14"/>
    </x:row>
    <x:row r="139">
      <x:c r="A139" s="14"/>
      <x:c r="B139" s="14"/>
      <x:c r="C139" s="14"/>
      <x:c r="D139" s="14"/>
      <x:c r="E139" s="14"/>
      <x:c r="F139" s="22"/>
      <x:c r="G139" s="25"/>
      <x:c r="H139" s="14"/>
      <x:c r="I139" s="14"/>
      <x:c r="J139" s="14"/>
      <x:c r="K139" s="14"/>
      <x:c r="L139" s="14"/>
      <x:c r="M139" s="25"/>
      <x:c r="N139" s="14"/>
    </x:row>
    <x:row r="140">
      <x:c r="A140" s="14"/>
      <x:c r="B140" s="14"/>
      <x:c r="C140" s="14"/>
      <x:c r="D140" s="14"/>
      <x:c r="E140" s="14"/>
      <x:c r="F140" s="22"/>
      <x:c r="G140" s="25"/>
      <x:c r="H140" s="14"/>
      <x:c r="I140" s="14"/>
      <x:c r="J140" s="14"/>
      <x:c r="K140" s="14"/>
      <x:c r="L140" s="14"/>
      <x:c r="M140" s="25"/>
      <x:c r="N140" s="14"/>
    </x:row>
    <x:row r="141">
      <x:c r="A141" s="14"/>
      <x:c r="B141" s="14"/>
      <x:c r="C141" s="14"/>
      <x:c r="D141" s="14"/>
      <x:c r="E141" s="14"/>
      <x:c r="F141" s="22"/>
      <x:c r="G141" s="25"/>
      <x:c r="H141" s="14"/>
      <x:c r="I141" s="14"/>
      <x:c r="J141" s="14"/>
      <x:c r="K141" s="14"/>
      <x:c r="L141" s="14"/>
      <x:c r="M141" s="25"/>
      <x:c r="N141" s="14"/>
    </x:row>
    <x:row r="142">
      <x:c r="A142" s="14"/>
      <x:c r="B142" s="14"/>
      <x:c r="C142" s="14"/>
      <x:c r="D142" s="14"/>
      <x:c r="E142" s="14"/>
      <x:c r="F142" s="22"/>
      <x:c r="G142" s="25"/>
      <x:c r="H142" s="14"/>
      <x:c r="I142" s="14"/>
      <x:c r="J142" s="14"/>
      <x:c r="K142" s="14"/>
      <x:c r="L142" s="14"/>
      <x:c r="M142" s="25"/>
      <x:c r="N142" s="14"/>
    </x:row>
    <x:row r="143">
      <x:c r="A143" s="14"/>
      <x:c r="B143" s="14"/>
      <x:c r="C143" s="14"/>
      <x:c r="D143" s="14"/>
      <x:c r="E143" s="14"/>
      <x:c r="F143" s="22"/>
      <x:c r="G143" s="25"/>
      <x:c r="H143" s="14"/>
      <x:c r="I143" s="14"/>
      <x:c r="J143" s="14"/>
      <x:c r="K143" s="14"/>
      <x:c r="L143" s="14"/>
      <x:c r="M143" s="25"/>
      <x:c r="N143" s="14"/>
    </x:row>
    <x:row r="144">
      <x:c r="A144" s="14"/>
      <x:c r="B144" s="14"/>
      <x:c r="C144" s="14"/>
      <x:c r="D144" s="14"/>
      <x:c r="E144" s="14"/>
      <x:c r="F144" s="22"/>
      <x:c r="G144" s="25"/>
      <x:c r="H144" s="14"/>
      <x:c r="I144" s="14"/>
      <x:c r="J144" s="14"/>
      <x:c r="K144" s="14"/>
      <x:c r="L144" s="14"/>
      <x:c r="M144" s="25"/>
      <x:c r="N144" s="14"/>
    </x:row>
    <x:row r="145">
      <x:c r="A145" s="14"/>
      <x:c r="B145" s="14"/>
      <x:c r="C145" s="14"/>
      <x:c r="D145" s="14"/>
      <x:c r="E145" s="14"/>
      <x:c r="F145" s="22"/>
      <x:c r="G145" s="25"/>
      <x:c r="H145" s="14"/>
      <x:c r="I145" s="14"/>
      <x:c r="J145" s="14"/>
      <x:c r="K145" s="14"/>
      <x:c r="L145" s="14"/>
      <x:c r="M145" s="25"/>
      <x:c r="N145" s="14"/>
    </x:row>
    <x:row r="146">
      <x:c r="A146" s="14"/>
      <x:c r="B146" s="14"/>
      <x:c r="C146" s="14"/>
      <x:c r="D146" s="14"/>
      <x:c r="E146" s="14"/>
      <x:c r="F146" s="22"/>
      <x:c r="G146" s="25"/>
      <x:c r="H146" s="14"/>
      <x:c r="I146" s="14"/>
      <x:c r="J146" s="14"/>
      <x:c r="K146" s="14"/>
      <x:c r="L146" s="14"/>
      <x:c r="M146" s="25"/>
      <x:c r="N146" s="14"/>
    </x:row>
    <x:row r="147">
      <x:c r="A147" s="14"/>
      <x:c r="B147" s="14"/>
      <x:c r="C147" s="14"/>
      <x:c r="D147" s="14"/>
      <x:c r="E147" s="14"/>
      <x:c r="F147" s="22"/>
      <x:c r="G147" s="25"/>
      <x:c r="H147" s="14"/>
      <x:c r="I147" s="14"/>
      <x:c r="J147" s="14"/>
      <x:c r="K147" s="14"/>
      <x:c r="L147" s="14"/>
      <x:c r="M147" s="25"/>
      <x:c r="N147" s="14"/>
    </x:row>
    <x:row r="148">
      <x:c r="A148" s="14"/>
      <x:c r="B148" s="14"/>
      <x:c r="C148" s="14"/>
      <x:c r="D148" s="14"/>
      <x:c r="E148" s="14"/>
      <x:c r="F148" s="22"/>
      <x:c r="G148" s="25"/>
      <x:c r="H148" s="14"/>
      <x:c r="I148" s="14"/>
      <x:c r="J148" s="14"/>
      <x:c r="K148" s="14"/>
      <x:c r="L148" s="14"/>
      <x:c r="M148" s="25"/>
      <x:c r="N148" s="14"/>
    </x:row>
    <x:row r="149">
      <x:c r="A149" s="14"/>
      <x:c r="B149" s="14"/>
      <x:c r="C149" s="14"/>
      <x:c r="D149" s="14"/>
      <x:c r="E149" s="14"/>
      <x:c r="F149" s="22"/>
      <x:c r="G149" s="25"/>
      <x:c r="H149" s="14"/>
      <x:c r="I149" s="14"/>
      <x:c r="J149" s="14"/>
      <x:c r="K149" s="14"/>
      <x:c r="L149" s="14"/>
      <x:c r="M149" s="25"/>
      <x:c r="N149" s="14"/>
    </x:row>
    <x:row r="150">
      <x:c r="A150" s="14"/>
      <x:c r="B150" s="14"/>
      <x:c r="C150" s="14"/>
      <x:c r="D150" s="14"/>
      <x:c r="E150" s="14"/>
      <x:c r="F150" s="22"/>
      <x:c r="G150" s="25"/>
      <x:c r="H150" s="14"/>
      <x:c r="I150" s="14"/>
      <x:c r="J150" s="14"/>
      <x:c r="K150" s="14"/>
      <x:c r="L150" s="14"/>
      <x:c r="M150" s="25"/>
      <x:c r="N150" s="14"/>
    </x:row>
    <x:row r="151">
      <x:c r="A151" s="14"/>
      <x:c r="B151" s="14"/>
      <x:c r="C151" s="14"/>
      <x:c r="D151" s="14"/>
      <x:c r="E151" s="14"/>
      <x:c r="F151" s="22"/>
      <x:c r="G151" s="25"/>
      <x:c r="H151" s="14"/>
      <x:c r="I151" s="14"/>
      <x:c r="J151" s="14"/>
      <x:c r="K151" s="14"/>
      <x:c r="L151" s="14"/>
      <x:c r="M151" s="25"/>
      <x:c r="N151" s="14"/>
    </x:row>
    <x:row r="152">
      <x:c r="A152" s="14"/>
      <x:c r="B152" s="14"/>
      <x:c r="C152" s="14"/>
      <x:c r="D152" s="14"/>
      <x:c r="E152" s="14"/>
      <x:c r="F152" s="22"/>
      <x:c r="G152" s="25"/>
      <x:c r="H152" s="14"/>
      <x:c r="I152" s="14"/>
      <x:c r="J152" s="14"/>
      <x:c r="K152" s="14"/>
      <x:c r="L152" s="14"/>
      <x:c r="M152" s="25"/>
      <x:c r="N152" s="14"/>
    </x:row>
    <x:row r="153">
      <x:c r="A153" s="14"/>
      <x:c r="B153" s="14"/>
      <x:c r="C153" s="14"/>
      <x:c r="D153" s="14"/>
      <x:c r="E153" s="14"/>
      <x:c r="F153" s="22"/>
      <x:c r="G153" s="25"/>
      <x:c r="H153" s="14"/>
      <x:c r="I153" s="14"/>
      <x:c r="J153" s="14"/>
      <x:c r="K153" s="14"/>
      <x:c r="L153" s="14"/>
      <x:c r="M153" s="25"/>
      <x:c r="N153" s="14"/>
    </x:row>
    <x:row r="154">
      <x:c r="A154" s="14"/>
      <x:c r="B154" s="14"/>
      <x:c r="C154" s="14"/>
      <x:c r="D154" s="14"/>
      <x:c r="E154" s="14"/>
      <x:c r="F154" s="22"/>
      <x:c r="G154" s="25"/>
      <x:c r="H154" s="14"/>
      <x:c r="I154" s="14"/>
      <x:c r="J154" s="14"/>
      <x:c r="K154" s="14"/>
      <x:c r="L154" s="14"/>
      <x:c r="M154" s="25"/>
      <x:c r="N154" s="14"/>
    </x:row>
    <x:row r="155">
      <x:c r="A155" s="14"/>
      <x:c r="B155" s="14"/>
      <x:c r="C155" s="14"/>
      <x:c r="D155" s="14"/>
      <x:c r="E155" s="14"/>
      <x:c r="F155" s="22"/>
      <x:c r="G155" s="25"/>
      <x:c r="H155" s="14"/>
      <x:c r="I155" s="14"/>
      <x:c r="J155" s="14"/>
      <x:c r="K155" s="14"/>
      <x:c r="L155" s="14"/>
      <x:c r="M155" s="25"/>
      <x:c r="N155" s="14"/>
    </x:row>
    <x:row r="156">
      <x:c r="A156" s="14"/>
      <x:c r="B156" s="14"/>
      <x:c r="C156" s="14"/>
      <x:c r="D156" s="14"/>
      <x:c r="E156" s="14"/>
      <x:c r="F156" s="22"/>
      <x:c r="G156" s="25"/>
      <x:c r="H156" s="14"/>
      <x:c r="I156" s="14"/>
      <x:c r="J156" s="14"/>
      <x:c r="K156" s="14"/>
      <x:c r="L156" s="14"/>
      <x:c r="M156" s="25"/>
      <x:c r="N156" s="14"/>
    </x:row>
    <x:row r="157">
      <x:c r="A157" s="14"/>
      <x:c r="B157" s="14"/>
      <x:c r="C157" s="14"/>
      <x:c r="D157" s="14"/>
      <x:c r="E157" s="14"/>
      <x:c r="F157" s="22"/>
      <x:c r="G157" s="25"/>
      <x:c r="H157" s="14"/>
      <x:c r="I157" s="14"/>
      <x:c r="J157" s="14"/>
      <x:c r="K157" s="14"/>
      <x:c r="L157" s="14"/>
      <x:c r="M157" s="25"/>
      <x:c r="N157" s="14"/>
    </x:row>
    <x:row r="158">
      <x:c r="A158" s="14"/>
      <x:c r="B158" s="14"/>
      <x:c r="C158" s="14"/>
      <x:c r="D158" s="14"/>
      <x:c r="E158" s="14"/>
      <x:c r="F158" s="22"/>
      <x:c r="G158" s="25"/>
      <x:c r="H158" s="14"/>
      <x:c r="I158" s="14"/>
      <x:c r="J158" s="14"/>
      <x:c r="K158" s="14"/>
      <x:c r="L158" s="14"/>
      <x:c r="M158" s="25"/>
      <x:c r="N158" s="14"/>
    </x:row>
    <x:row r="159">
      <x:c r="A159" s="14"/>
      <x:c r="B159" s="14"/>
      <x:c r="C159" s="14"/>
      <x:c r="D159" s="14"/>
      <x:c r="E159" s="14"/>
      <x:c r="F159" s="22"/>
      <x:c r="G159" s="25"/>
      <x:c r="H159" s="14"/>
      <x:c r="I159" s="14"/>
      <x:c r="J159" s="14"/>
      <x:c r="K159" s="14"/>
      <x:c r="L159" s="14"/>
      <x:c r="M159" s="25"/>
      <x:c r="N159" s="14"/>
    </x:row>
    <x:row r="160">
      <x:c r="A160" s="14"/>
      <x:c r="B160" s="14"/>
      <x:c r="C160" s="14"/>
      <x:c r="D160" s="14"/>
      <x:c r="E160" s="14"/>
      <x:c r="F160" s="22"/>
      <x:c r="G160" s="25"/>
      <x:c r="H160" s="14"/>
      <x:c r="I160" s="14"/>
      <x:c r="J160" s="14"/>
      <x:c r="K160" s="14"/>
      <x:c r="L160" s="14"/>
      <x:c r="M160" s="25"/>
      <x:c r="N160" s="14"/>
    </x:row>
    <x:row r="161">
      <x:c r="A161" s="14"/>
      <x:c r="B161" s="14"/>
      <x:c r="C161" s="14"/>
      <x:c r="D161" s="14"/>
      <x:c r="E161" s="14"/>
      <x:c r="F161" s="22"/>
      <x:c r="G161" s="25"/>
      <x:c r="H161" s="14"/>
      <x:c r="I161" s="14"/>
      <x:c r="J161" s="14"/>
      <x:c r="K161" s="14"/>
      <x:c r="L161" s="14"/>
      <x:c r="M161" s="25"/>
      <x:c r="N161" s="14"/>
    </x:row>
    <x:row r="162">
      <x:c r="A162" s="14"/>
      <x:c r="B162" s="14"/>
      <x:c r="C162" s="14"/>
      <x:c r="D162" s="14"/>
      <x:c r="E162" s="14"/>
      <x:c r="F162" s="22"/>
      <x:c r="G162" s="25"/>
      <x:c r="H162" s="14"/>
      <x:c r="I162" s="14"/>
      <x:c r="J162" s="14"/>
      <x:c r="K162" s="14"/>
      <x:c r="L162" s="14"/>
      <x:c r="M162" s="25"/>
      <x:c r="N162" s="14"/>
    </x:row>
    <x:row r="163">
      <x:c r="A163" s="14"/>
      <x:c r="B163" s="14"/>
      <x:c r="C163" s="14"/>
      <x:c r="D163" s="14"/>
      <x:c r="E163" s="14"/>
      <x:c r="F163" s="22"/>
      <x:c r="G163" s="25"/>
      <x:c r="H163" s="14"/>
      <x:c r="I163" s="14"/>
      <x:c r="J163" s="14"/>
      <x:c r="K163" s="14"/>
      <x:c r="L163" s="14"/>
      <x:c r="M163" s="25"/>
      <x:c r="N163" s="14"/>
    </x:row>
    <x:row r="164">
      <x:c r="A164" s="14"/>
      <x:c r="B164" s="14"/>
      <x:c r="C164" s="14"/>
      <x:c r="D164" s="14"/>
      <x:c r="E164" s="14"/>
      <x:c r="F164" s="22"/>
      <x:c r="G164" s="25"/>
      <x:c r="H164" s="14"/>
      <x:c r="I164" s="14"/>
      <x:c r="J164" s="14"/>
      <x:c r="K164" s="14"/>
      <x:c r="L164" s="14"/>
      <x:c r="M164" s="25"/>
      <x:c r="N164" s="14"/>
    </x:row>
    <x:row r="165">
      <x:c r="A165" s="14"/>
      <x:c r="B165" s="14"/>
      <x:c r="C165" s="14"/>
      <x:c r="D165" s="14"/>
      <x:c r="E165" s="14"/>
      <x:c r="F165" s="22"/>
      <x:c r="G165" s="25"/>
      <x:c r="H165" s="14"/>
      <x:c r="I165" s="14"/>
      <x:c r="J165" s="14"/>
      <x:c r="K165" s="14"/>
      <x:c r="L165" s="14"/>
      <x:c r="M165" s="25"/>
      <x:c r="N165" s="14"/>
    </x:row>
    <x:row r="166">
      <x:c r="A166" s="14"/>
      <x:c r="B166" s="14"/>
      <x:c r="C166" s="14"/>
      <x:c r="D166" s="14"/>
      <x:c r="E166" s="14"/>
      <x:c r="F166" s="22"/>
      <x:c r="G166" s="25"/>
      <x:c r="H166" s="14"/>
      <x:c r="I166" s="14"/>
      <x:c r="J166" s="14"/>
      <x:c r="K166" s="14"/>
      <x:c r="L166" s="14"/>
      <x:c r="M166" s="25"/>
      <x:c r="N166" s="14"/>
    </x:row>
    <x:row r="167">
      <x:c r="A167" s="14"/>
      <x:c r="B167" s="14"/>
      <x:c r="C167" s="14"/>
      <x:c r="D167" s="14"/>
      <x:c r="E167" s="14"/>
      <x:c r="F167" s="22"/>
      <x:c r="G167" s="25"/>
      <x:c r="H167" s="14"/>
      <x:c r="I167" s="14"/>
      <x:c r="J167" s="14"/>
      <x:c r="K167" s="14"/>
      <x:c r="L167" s="14"/>
      <x:c r="M167" s="25"/>
      <x:c r="N167" s="14"/>
    </x:row>
    <x:row r="168">
      <x:c r="A168" s="14"/>
      <x:c r="B168" s="14"/>
      <x:c r="C168" s="14"/>
      <x:c r="D168" s="14"/>
      <x:c r="E168" s="14"/>
      <x:c r="F168" s="22"/>
      <x:c r="G168" s="25"/>
      <x:c r="H168" s="14"/>
      <x:c r="I168" s="14"/>
      <x:c r="J168" s="14"/>
      <x:c r="K168" s="14"/>
      <x:c r="L168" s="14"/>
      <x:c r="M168" s="25"/>
      <x:c r="N168" s="14"/>
    </x:row>
    <x:row r="169">
      <x:c r="A169" s="14"/>
      <x:c r="B169" s="14"/>
      <x:c r="C169" s="14"/>
      <x:c r="D169" s="14"/>
      <x:c r="E169" s="14"/>
      <x:c r="F169" s="22"/>
      <x:c r="G169" s="25"/>
      <x:c r="H169" s="14"/>
      <x:c r="I169" s="14"/>
      <x:c r="J169" s="14"/>
      <x:c r="K169" s="14"/>
      <x:c r="L169" s="14"/>
      <x:c r="M169" s="25"/>
      <x:c r="N169" s="14"/>
    </x:row>
    <x:row r="170">
      <x:c r="A170" s="14"/>
      <x:c r="B170" s="14"/>
      <x:c r="C170" s="14"/>
      <x:c r="D170" s="14"/>
      <x:c r="E170" s="14"/>
      <x:c r="F170" s="22"/>
      <x:c r="G170" s="25"/>
      <x:c r="H170" s="14"/>
      <x:c r="I170" s="14"/>
      <x:c r="J170" s="14"/>
      <x:c r="K170" s="14"/>
      <x:c r="L170" s="14"/>
      <x:c r="M170" s="25"/>
      <x:c r="N170" s="14"/>
    </x:row>
    <x:row r="171">
      <x:c r="A171" s="14"/>
      <x:c r="B171" s="14"/>
      <x:c r="C171" s="14"/>
      <x:c r="D171" s="14"/>
      <x:c r="E171" s="14"/>
      <x:c r="F171" s="22"/>
      <x:c r="G171" s="25"/>
      <x:c r="H171" s="14"/>
      <x:c r="I171" s="14"/>
      <x:c r="J171" s="14"/>
      <x:c r="K171" s="14"/>
      <x:c r="L171" s="14"/>
      <x:c r="M171" s="25"/>
      <x:c r="N171" s="14"/>
    </x:row>
    <x:row r="172">
      <x:c r="A172" s="14"/>
      <x:c r="B172" s="14"/>
      <x:c r="C172" s="14"/>
      <x:c r="D172" s="14"/>
      <x:c r="E172" s="14"/>
      <x:c r="F172" s="22"/>
      <x:c r="G172" s="25"/>
      <x:c r="H172" s="14"/>
      <x:c r="I172" s="14"/>
      <x:c r="J172" s="14"/>
      <x:c r="K172" s="14"/>
      <x:c r="L172" s="14"/>
      <x:c r="M172" s="25"/>
      <x:c r="N172" s="14"/>
    </x:row>
    <x:row r="173">
      <x:c r="A173" s="14"/>
      <x:c r="B173" s="14"/>
      <x:c r="C173" s="14"/>
      <x:c r="D173" s="14"/>
      <x:c r="E173" s="14"/>
      <x:c r="F173" s="22"/>
      <x:c r="G173" s="25"/>
      <x:c r="H173" s="14"/>
      <x:c r="I173" s="14"/>
      <x:c r="J173" s="14"/>
      <x:c r="K173" s="14"/>
      <x:c r="L173" s="14"/>
      <x:c r="M173" s="25"/>
      <x:c r="N173" s="14"/>
    </x:row>
    <x:row r="174">
      <x:c r="A174" s="14"/>
      <x:c r="B174" s="14"/>
      <x:c r="C174" s="14"/>
      <x:c r="D174" s="14"/>
      <x:c r="E174" s="14"/>
      <x:c r="F174" s="22"/>
      <x:c r="G174" s="25"/>
      <x:c r="H174" s="14"/>
      <x:c r="I174" s="14"/>
      <x:c r="J174" s="14"/>
      <x:c r="K174" s="14"/>
      <x:c r="L174" s="14"/>
      <x:c r="M174" s="25"/>
      <x:c r="N174" s="14"/>
    </x:row>
    <x:row r="175">
      <x:c r="A175" s="14"/>
      <x:c r="B175" s="14"/>
      <x:c r="C175" s="14"/>
      <x:c r="D175" s="14"/>
      <x:c r="E175" s="14"/>
      <x:c r="F175" s="22"/>
      <x:c r="G175" s="25"/>
      <x:c r="H175" s="14"/>
      <x:c r="I175" s="14"/>
      <x:c r="J175" s="14"/>
      <x:c r="K175" s="14"/>
      <x:c r="L175" s="14"/>
      <x:c r="M175" s="25"/>
      <x:c r="N175" s="14"/>
    </x:row>
    <x:row r="176">
      <x:c r="A176" s="14"/>
      <x:c r="B176" s="14"/>
      <x:c r="C176" s="14"/>
      <x:c r="D176" s="14"/>
      <x:c r="E176" s="14"/>
      <x:c r="F176" s="22"/>
      <x:c r="G176" s="25"/>
      <x:c r="H176" s="14"/>
      <x:c r="I176" s="14"/>
      <x:c r="J176" s="14"/>
      <x:c r="K176" s="14"/>
      <x:c r="L176" s="14"/>
      <x:c r="M176" s="25"/>
      <x:c r="N176" s="14"/>
    </x:row>
    <x:row r="177">
      <x:c r="A177" s="14"/>
      <x:c r="B177" s="14"/>
      <x:c r="C177" s="14"/>
      <x:c r="D177" s="14"/>
      <x:c r="E177" s="14"/>
      <x:c r="F177" s="22"/>
      <x:c r="G177" s="25"/>
      <x:c r="H177" s="14"/>
      <x:c r="I177" s="14"/>
      <x:c r="J177" s="14"/>
      <x:c r="K177" s="14"/>
      <x:c r="L177" s="14"/>
      <x:c r="M177" s="25"/>
      <x:c r="N177" s="14"/>
    </x:row>
    <x:row r="178">
      <x:c r="A178" s="14"/>
      <x:c r="B178" s="14"/>
      <x:c r="C178" s="14"/>
      <x:c r="D178" s="14"/>
      <x:c r="E178" s="14"/>
      <x:c r="F178" s="22"/>
      <x:c r="G178" s="25"/>
      <x:c r="H178" s="14"/>
      <x:c r="I178" s="14"/>
      <x:c r="J178" s="14"/>
      <x:c r="K178" s="14"/>
      <x:c r="L178" s="14"/>
      <x:c r="M178" s="25"/>
      <x:c r="N178" s="14"/>
    </x:row>
    <x:row r="179">
      <x:c r="A179" s="14"/>
      <x:c r="B179" s="14"/>
      <x:c r="C179" s="14"/>
      <x:c r="D179" s="14"/>
      <x:c r="E179" s="14"/>
      <x:c r="F179" s="22"/>
      <x:c r="G179" s="25"/>
      <x:c r="H179" s="14"/>
      <x:c r="I179" s="14"/>
      <x:c r="J179" s="14"/>
      <x:c r="K179" s="14"/>
      <x:c r="L179" s="14"/>
      <x:c r="M179" s="25"/>
      <x:c r="N179" s="14"/>
    </x:row>
    <x:row r="180">
      <x:c r="A180" s="14"/>
      <x:c r="B180" s="14"/>
      <x:c r="C180" s="14"/>
      <x:c r="D180" s="14"/>
      <x:c r="E180" s="14"/>
      <x:c r="F180" s="22"/>
      <x:c r="G180" s="25"/>
      <x:c r="H180" s="14"/>
      <x:c r="I180" s="14"/>
      <x:c r="J180" s="14"/>
      <x:c r="K180" s="14"/>
      <x:c r="L180" s="14"/>
      <x:c r="M180" s="25"/>
      <x:c r="N180" s="14"/>
    </x:row>
    <x:row r="181">
      <x:c r="A181" s="14"/>
      <x:c r="B181" s="14"/>
      <x:c r="C181" s="14"/>
      <x:c r="D181" s="14"/>
      <x:c r="E181" s="14"/>
      <x:c r="F181" s="22"/>
      <x:c r="G181" s="25"/>
      <x:c r="H181" s="14"/>
      <x:c r="I181" s="14"/>
      <x:c r="J181" s="14"/>
      <x:c r="K181" s="14"/>
      <x:c r="L181" s="14"/>
      <x:c r="M181" s="25"/>
      <x:c r="N181" s="14"/>
    </x:row>
    <x:row r="182">
      <x:c r="A182" s="14"/>
      <x:c r="B182" s="14"/>
      <x:c r="C182" s="14"/>
      <x:c r="D182" s="14"/>
      <x:c r="E182" s="14"/>
      <x:c r="F182" s="22"/>
      <x:c r="G182" s="25"/>
      <x:c r="H182" s="14"/>
      <x:c r="I182" s="14"/>
      <x:c r="J182" s="14"/>
      <x:c r="K182" s="14"/>
      <x:c r="L182" s="14"/>
      <x:c r="M182" s="25"/>
      <x:c r="N182" s="14"/>
    </x:row>
    <x:row r="183">
      <x:c r="A183" s="14"/>
      <x:c r="B183" s="14"/>
      <x:c r="C183" s="14"/>
      <x:c r="D183" s="14"/>
      <x:c r="E183" s="14"/>
      <x:c r="F183" s="22"/>
      <x:c r="G183" s="25"/>
      <x:c r="H183" s="14"/>
      <x:c r="I183" s="14"/>
      <x:c r="J183" s="14"/>
      <x:c r="K183" s="14"/>
      <x:c r="L183" s="14"/>
      <x:c r="M183" s="25"/>
      <x:c r="N183" s="14"/>
    </x:row>
    <x:row r="184">
      <x:c r="A184" s="14"/>
      <x:c r="B184" s="14"/>
      <x:c r="C184" s="14"/>
      <x:c r="D184" s="14"/>
      <x:c r="E184" s="14"/>
      <x:c r="F184" s="22"/>
      <x:c r="G184" s="25"/>
      <x:c r="H184" s="14"/>
      <x:c r="I184" s="14"/>
      <x:c r="J184" s="14"/>
      <x:c r="K184" s="14"/>
      <x:c r="L184" s="14"/>
      <x:c r="M184" s="25"/>
      <x:c r="N184" s="14"/>
    </x:row>
    <x:row r="185">
      <x:c r="A185" s="14"/>
      <x:c r="B185" s="14"/>
      <x:c r="C185" s="14"/>
      <x:c r="D185" s="14"/>
      <x:c r="E185" s="14"/>
      <x:c r="F185" s="22"/>
      <x:c r="G185" s="25"/>
      <x:c r="H185" s="14"/>
      <x:c r="I185" s="14"/>
      <x:c r="J185" s="14"/>
      <x:c r="K185" s="14"/>
      <x:c r="L185" s="14"/>
      <x:c r="M185" s="25"/>
      <x:c r="N185" s="14"/>
    </x:row>
    <x:row r="186">
      <x:c r="A186" s="14"/>
      <x:c r="B186" s="14"/>
      <x:c r="C186" s="14"/>
      <x:c r="D186" s="14"/>
      <x:c r="E186" s="14"/>
      <x:c r="F186" s="22"/>
      <x:c r="G186" s="25"/>
      <x:c r="H186" s="14"/>
      <x:c r="I186" s="14"/>
      <x:c r="J186" s="14"/>
      <x:c r="K186" s="14"/>
      <x:c r="L186" s="14"/>
      <x:c r="M186" s="25"/>
      <x:c r="N186" s="14"/>
    </x:row>
    <x:row r="187">
      <x:c r="A187" s="14"/>
      <x:c r="B187" s="14"/>
      <x:c r="C187" s="14"/>
      <x:c r="D187" s="14"/>
      <x:c r="E187" s="14"/>
      <x:c r="F187" s="22"/>
      <x:c r="G187" s="25"/>
      <x:c r="H187" s="14"/>
      <x:c r="I187" s="14"/>
      <x:c r="J187" s="14"/>
      <x:c r="K187" s="14"/>
      <x:c r="L187" s="14"/>
      <x:c r="M187" s="25"/>
      <x:c r="N187" s="14"/>
    </x:row>
    <x:row r="188">
      <x:c r="A188" s="14"/>
      <x:c r="B188" s="14"/>
      <x:c r="C188" s="14"/>
      <x:c r="D188" s="14"/>
      <x:c r="E188" s="14"/>
      <x:c r="F188" s="22"/>
      <x:c r="G188" s="25"/>
      <x:c r="H188" s="14"/>
      <x:c r="I188" s="14"/>
      <x:c r="J188" s="14"/>
      <x:c r="K188" s="14"/>
      <x:c r="L188" s="14"/>
      <x:c r="M188" s="25"/>
      <x:c r="N188" s="14"/>
    </x:row>
    <x:row r="189">
      <x:c r="A189" s="14"/>
      <x:c r="B189" s="14"/>
      <x:c r="C189" s="14"/>
      <x:c r="D189" s="14"/>
      <x:c r="E189" s="14"/>
      <x:c r="F189" s="22"/>
      <x:c r="G189" s="25"/>
      <x:c r="H189" s="14"/>
      <x:c r="I189" s="14"/>
      <x:c r="J189" s="14"/>
      <x:c r="K189" s="14"/>
      <x:c r="L189" s="14"/>
      <x:c r="M189" s="25"/>
      <x:c r="N189" s="14"/>
    </x:row>
    <x:row r="190">
      <x:c r="A190" s="14"/>
      <x:c r="B190" s="14"/>
      <x:c r="C190" s="14"/>
      <x:c r="D190" s="14"/>
      <x:c r="E190" s="14"/>
      <x:c r="F190" s="22"/>
      <x:c r="G190" s="25"/>
      <x:c r="H190" s="14"/>
      <x:c r="I190" s="14"/>
      <x:c r="J190" s="14"/>
      <x:c r="K190" s="14"/>
      <x:c r="L190" s="14"/>
      <x:c r="M190" s="25"/>
      <x:c r="N190" s="14"/>
    </x:row>
    <x:row r="191">
      <x:c r="A191" s="14"/>
      <x:c r="B191" s="14"/>
      <x:c r="C191" s="14"/>
      <x:c r="D191" s="14"/>
      <x:c r="E191" s="14"/>
      <x:c r="F191" s="22"/>
      <x:c r="G191" s="25"/>
      <x:c r="H191" s="14"/>
      <x:c r="I191" s="14"/>
      <x:c r="J191" s="14"/>
      <x:c r="K191" s="14"/>
      <x:c r="L191" s="14"/>
      <x:c r="M191" s="25"/>
      <x:c r="N191" s="14"/>
    </x:row>
    <x:row r="192">
      <x:c r="A192" s="14"/>
      <x:c r="B192" s="14"/>
      <x:c r="C192" s="14"/>
      <x:c r="D192" s="14"/>
      <x:c r="E192" s="14"/>
      <x:c r="F192" s="22"/>
      <x:c r="G192" s="25"/>
      <x:c r="H192" s="14"/>
      <x:c r="I192" s="14"/>
      <x:c r="J192" s="14"/>
      <x:c r="K192" s="14"/>
      <x:c r="L192" s="14"/>
      <x:c r="M192" s="25"/>
      <x:c r="N192" s="14"/>
    </x:row>
    <x:row r="193">
      <x:c r="A193" s="14"/>
      <x:c r="B193" s="14"/>
      <x:c r="C193" s="14"/>
      <x:c r="D193" s="14"/>
      <x:c r="E193" s="14"/>
      <x:c r="F193" s="22"/>
      <x:c r="G193" s="25"/>
      <x:c r="H193" s="14"/>
      <x:c r="I193" s="14"/>
      <x:c r="J193" s="14"/>
      <x:c r="K193" s="14"/>
      <x:c r="L193" s="14"/>
      <x:c r="M193" s="25"/>
      <x:c r="N193" s="14"/>
    </x:row>
    <x:row r="194">
      <x:c r="A194" s="14"/>
      <x:c r="B194" s="14"/>
      <x:c r="C194" s="14"/>
      <x:c r="D194" s="14"/>
      <x:c r="E194" s="14"/>
      <x:c r="F194" s="22"/>
      <x:c r="G194" s="25"/>
      <x:c r="H194" s="14"/>
      <x:c r="I194" s="14"/>
      <x:c r="J194" s="14"/>
      <x:c r="K194" s="14"/>
      <x:c r="L194" s="14"/>
      <x:c r="M194" s="25"/>
      <x:c r="N194" s="14"/>
    </x:row>
    <x:row r="195">
      <x:c r="A195" s="14"/>
      <x:c r="B195" s="14"/>
      <x:c r="C195" s="14"/>
      <x:c r="D195" s="14"/>
      <x:c r="E195" s="14"/>
      <x:c r="F195" s="22"/>
      <x:c r="G195" s="25"/>
      <x:c r="H195" s="14"/>
      <x:c r="I195" s="14"/>
      <x:c r="J195" s="14"/>
      <x:c r="K195" s="14"/>
      <x:c r="L195" s="14"/>
      <x:c r="M195" s="25"/>
      <x:c r="N195" s="14"/>
    </x:row>
    <x:row r="196">
      <x:c r="A196" s="14"/>
      <x:c r="B196" s="14"/>
      <x:c r="C196" s="14"/>
      <x:c r="D196" s="14"/>
      <x:c r="E196" s="14"/>
      <x:c r="F196" s="22"/>
      <x:c r="G196" s="25"/>
      <x:c r="H196" s="14"/>
      <x:c r="I196" s="14"/>
      <x:c r="J196" s="14"/>
      <x:c r="K196" s="14"/>
      <x:c r="L196" s="14"/>
      <x:c r="M196" s="25"/>
      <x:c r="N196" s="14"/>
    </x:row>
    <x:row r="197">
      <x:c r="A197" s="14"/>
      <x:c r="B197" s="14"/>
      <x:c r="C197" s="14"/>
      <x:c r="D197" s="14"/>
      <x:c r="E197" s="14"/>
      <x:c r="F197" s="22"/>
      <x:c r="G197" s="25"/>
      <x:c r="H197" s="14"/>
      <x:c r="I197" s="14"/>
      <x:c r="J197" s="14"/>
      <x:c r="K197" s="14"/>
      <x:c r="L197" s="14"/>
      <x:c r="M197" s="25"/>
      <x:c r="N197" s="14"/>
    </x:row>
    <x:row r="198">
      <x:c r="A198" s="14"/>
      <x:c r="B198" s="14"/>
      <x:c r="C198" s="14"/>
      <x:c r="D198" s="14"/>
      <x:c r="E198" s="14"/>
      <x:c r="F198" s="22"/>
      <x:c r="G198" s="25"/>
      <x:c r="H198" s="14"/>
      <x:c r="I198" s="14"/>
      <x:c r="J198" s="14"/>
      <x:c r="K198" s="14"/>
      <x:c r="L198" s="14"/>
      <x:c r="M198" s="25"/>
      <x:c r="N198" s="14"/>
    </x:row>
    <x:row r="199">
      <x:c r="A199" s="14"/>
      <x:c r="B199" s="14"/>
      <x:c r="C199" s="14"/>
      <x:c r="D199" s="14"/>
      <x:c r="E199" s="14"/>
      <x:c r="F199" s="22"/>
      <x:c r="G199" s="25"/>
      <x:c r="H199" s="14"/>
      <x:c r="I199" s="14"/>
      <x:c r="J199" s="14"/>
      <x:c r="K199" s="14"/>
      <x:c r="L199" s="14"/>
      <x:c r="M199" s="25"/>
      <x:c r="N199" s="14"/>
    </x:row>
    <x:row r="200">
      <x:c r="A200" s="14"/>
      <x:c r="B200" s="14"/>
      <x:c r="C200" s="14"/>
      <x:c r="D200" s="14"/>
      <x:c r="E200" s="14"/>
      <x:c r="F200" s="22"/>
      <x:c r="G200" s="25"/>
      <x:c r="H200" s="14"/>
      <x:c r="I200" s="14"/>
      <x:c r="J200" s="14"/>
      <x:c r="K200" s="14"/>
      <x:c r="L200" s="14"/>
      <x:c r="M200" s="25"/>
      <x:c r="N200" s="14"/>
    </x:row>
    <x:row r="201">
      <x:c r="A201" s="14"/>
      <x:c r="B201" s="14"/>
      <x:c r="C201" s="14"/>
      <x:c r="D201" s="14"/>
      <x:c r="E201" s="14"/>
      <x:c r="F201" s="22"/>
      <x:c r="G201" s="25"/>
      <x:c r="H201" s="14"/>
      <x:c r="I201" s="14"/>
      <x:c r="J201" s="14"/>
      <x:c r="K201" s="14"/>
      <x:c r="L201" s="14"/>
      <x:c r="M201" s="25"/>
      <x:c r="N201" s="14"/>
    </x:row>
    <x:row r="202">
      <x:c r="A202" s="14"/>
      <x:c r="B202" s="14"/>
      <x:c r="C202" s="14"/>
      <x:c r="D202" s="14"/>
      <x:c r="E202" s="14"/>
      <x:c r="F202" s="22"/>
      <x:c r="G202" s="25"/>
      <x:c r="H202" s="14"/>
      <x:c r="I202" s="14"/>
      <x:c r="J202" s="14"/>
      <x:c r="K202" s="14"/>
      <x:c r="L202" s="14"/>
      <x:c r="M202" s="25"/>
      <x:c r="N202" s="14"/>
    </x:row>
    <x:row r="203">
      <x:c r="A203" s="14"/>
      <x:c r="B203" s="14"/>
      <x:c r="C203" s="14"/>
      <x:c r="D203" s="14"/>
      <x:c r="E203" s="14"/>
      <x:c r="F203" s="22"/>
      <x:c r="G203" s="25"/>
      <x:c r="H203" s="14"/>
      <x:c r="I203" s="14"/>
      <x:c r="J203" s="14"/>
      <x:c r="K203" s="14"/>
      <x:c r="L203" s="14"/>
      <x:c r="M203" s="25"/>
      <x:c r="N203" s="14"/>
    </x:row>
    <x:row r="204">
      <x:c r="A204" s="14"/>
      <x:c r="B204" s="14"/>
      <x:c r="C204" s="14"/>
      <x:c r="D204" s="14"/>
      <x:c r="E204" s="14"/>
      <x:c r="F204" s="22"/>
      <x:c r="G204" s="25"/>
      <x:c r="H204" s="14"/>
      <x:c r="I204" s="14"/>
      <x:c r="J204" s="14"/>
      <x:c r="K204" s="14"/>
      <x:c r="L204" s="14"/>
      <x:c r="M204" s="25"/>
      <x:c r="N204" s="14"/>
    </x:row>
    <x:row r="205">
      <x:c r="A205" s="15"/>
      <x:c r="B205" s="15"/>
      <x:c r="C205" s="15"/>
      <x:c r="D205" s="15"/>
      <x:c r="E205" s="15"/>
      <x:c r="F205" s="23"/>
      <x:c r="G205" s="26"/>
      <x:c r="H205" s="15"/>
      <x:c r="I205" s="15"/>
      <x:c r="J205" s="15"/>
      <x:c r="K205" s="15"/>
      <x:c r="L205" s="15"/>
      <x:c r="M205" s="26"/>
      <x:c r="N205" s="15"/>
    </x:row>
  </x:sheetData>
  <x:mergeCells>
    <x:mergeCell ref="A1:N1"/>
    <x:mergeCell ref="A2:N2"/>
  </x:mergeCells>
  <x:dataValidations count="2">
    <x:dataValidation type="list" sqref="C5:C205">
      <x:formula1>"Onboarding,Active,Paused,Offboarding,Past"</x:formula1>
    </x:dataValidation>
    <x:dataValidation type="list" sqref="L5:L205">
      <x:formula1>"Green,Amber,Red"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341bdea1e974c0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22" hidden="0" customWidth="1"/>
    <x:col min="4" max="4" width="23" hidden="0" customWidth="1"/>
    <x:col min="5" max="5" width="15" hidden="0" customWidth="1"/>
    <x:col min="6" max="6" width="17" hidden="0" customWidth="1"/>
    <x:col min="7" max="7" width="15" hidden="0" customWidth="1"/>
    <x:col min="8" max="8" width="12" hidden="0" customWidth="1"/>
    <x:col min="9" max="9" width="17" hidden="0" customWidth="1"/>
    <x:col min="10" max="10" width="15" hidden="0" customWidth="1"/>
    <x:col min="11" max="11" width="27" hidden="0" customWidth="1"/>
    <x:col min="12" max="12" width="15" hidden="0" customWidth="1"/>
    <x:col min="13" max="13" width="25" hidden="0" customWidth="1"/>
    <x:col min="14" max="14" width="33" hidden="0" customWidth="1"/>
  </x:cols>
  <x:sheetData>
    <x:row r="1" ht="34" customHeight="1">
      <x:c r="A1" s="2" t="str">
        <x:v>Lead Pipeline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5" customHeight="1">
      <x:c r="A2" s="4" t="str">
        <x:v>Qualify complexity and attach a dated next action to every opportunity.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4">
      <x:c r="A4" s="8" t="str">
        <x:v>Lead ID</x:v>
      </x:c>
      <x:c r="B4" s="8" t="str">
        <x:v>Contact</x:v>
      </x:c>
      <x:c r="C4" s="8" t="str">
        <x:v>Company</x:v>
      </x:c>
      <x:c r="D4" s="8" t="str">
        <x:v>Stage</x:v>
      </x:c>
      <x:c r="E4" s="8" t="str">
        <x:v>Source</x:v>
      </x:c>
      <x:c r="F4" s="8" t="str">
        <x:v>Monthly Fee Est.</x:v>
      </x:c>
      <x:c r="G4" s="8" t="str">
        <x:v>Cleanup Est.</x:v>
      </x:c>
      <x:c r="H4" s="8" t="str">
        <x:v>Probability</x:v>
      </x:c>
      <x:c r="I4" s="8" t="str">
        <x:v>Weighted Value</x:v>
      </x:c>
      <x:c r="J4" s="8" t="str">
        <x:v>Diagnostic Date</x:v>
      </x:c>
      <x:c r="K4" s="8" t="str">
        <x:v>Next Action</x:v>
      </x:c>
      <x:c r="L4" s="8" t="str">
        <x:v>Next Action Date</x:v>
      </x:c>
      <x:c r="M4" s="8" t="str">
        <x:v>Email</x:v>
      </x:c>
      <x:c r="N4" s="8" t="str">
        <x:v>Notes</x:v>
      </x:c>
    </x:row>
    <x:row r="5">
      <x:c r="A5" s="13" t="str">
        <x:v>L-001</x:v>
      </x:c>
      <x:c r="B5" s="13" t="str">
        <x:v>Jamie Chen</x:v>
      </x:c>
      <x:c r="C5" s="13" t="str">
        <x:v>Oak &amp; Pine Co.</x:v>
      </x:c>
      <x:c r="D5" s="13" t="str">
        <x:v>Diagnostic Scheduled</x:v>
      </x:c>
      <x:c r="E5" s="13" t="str">
        <x:v>Referral</x:v>
      </x:c>
      <x:c r="F5" s="21" t="n">
        <x:v>1200</x:v>
      </x:c>
      <x:c r="G5" s="21" t="n">
        <x:v>2400</x:v>
      </x:c>
      <x:c r="H5" s="27" t="n">
        <x:v>0.4</x:v>
      </x:c>
      <x:c r="I5" s="21" t="n">
        <x:f>(F5*12+G5)*H5</x:f>
        <x:v>6720</x:v>
      </x:c>
      <x:c r="J5" s="24" t="n">
        <x:v>46206</x:v>
      </x:c>
      <x:c r="K5" s="13" t="str">
        <x:v>Run diagnostic</x:v>
      </x:c>
      <x:c r="L5" s="24" t="n">
        <x:v>46206</x:v>
      </x:c>
      <x:c r="M5" s="13" t="str">
        <x:v>jamie@example.com</x:v>
      </x:c>
      <x:c r="N5" s="13" t="str">
        <x:v>Sample row</x:v>
      </x:c>
    </x:row>
    <x:row r="6">
      <x:c r="A6" s="14"/>
      <x:c r="B6" s="14"/>
      <x:c r="C6" s="14"/>
      <x:c r="D6" s="14"/>
      <x:c r="E6" s="14"/>
      <x:c r="F6" s="22"/>
      <x:c r="G6" s="22"/>
      <x:c r="H6" s="28"/>
      <x:c r="I6" s="22" t="n">
        <x:f>(F6*12+G6)*H6</x:f>
        <x:v>0</x:v>
      </x:c>
      <x:c r="J6" s="25"/>
      <x:c r="K6" s="14"/>
      <x:c r="L6" s="25"/>
      <x:c r="M6" s="14"/>
      <x:c r="N6" s="14"/>
    </x:row>
    <x:row r="7">
      <x:c r="A7" s="14"/>
      <x:c r="B7" s="14"/>
      <x:c r="C7" s="14"/>
      <x:c r="D7" s="14"/>
      <x:c r="E7" s="14"/>
      <x:c r="F7" s="22"/>
      <x:c r="G7" s="22"/>
      <x:c r="H7" s="28"/>
      <x:c r="I7" s="22" t="n">
        <x:f>(F7*12+G7)*H7</x:f>
        <x:v>0</x:v>
      </x:c>
      <x:c r="J7" s="25"/>
      <x:c r="K7" s="14"/>
      <x:c r="L7" s="25"/>
      <x:c r="M7" s="14"/>
      <x:c r="N7" s="14"/>
    </x:row>
    <x:row r="8">
      <x:c r="A8" s="14"/>
      <x:c r="B8" s="14"/>
      <x:c r="C8" s="14"/>
      <x:c r="D8" s="14"/>
      <x:c r="E8" s="14"/>
      <x:c r="F8" s="22"/>
      <x:c r="G8" s="22"/>
      <x:c r="H8" s="28"/>
      <x:c r="I8" s="22" t="n">
        <x:f>(F8*12+G8)*H8</x:f>
        <x:v>0</x:v>
      </x:c>
      <x:c r="J8" s="25"/>
      <x:c r="K8" s="14"/>
      <x:c r="L8" s="25"/>
      <x:c r="M8" s="14"/>
      <x:c r="N8" s="14"/>
    </x:row>
    <x:row r="9">
      <x:c r="A9" s="14"/>
      <x:c r="B9" s="14"/>
      <x:c r="C9" s="14"/>
      <x:c r="D9" s="14"/>
      <x:c r="E9" s="14"/>
      <x:c r="F9" s="22"/>
      <x:c r="G9" s="22"/>
      <x:c r="H9" s="28"/>
      <x:c r="I9" s="22" t="n">
        <x:f>(F9*12+G9)*H9</x:f>
        <x:v>0</x:v>
      </x:c>
      <x:c r="J9" s="25"/>
      <x:c r="K9" s="14"/>
      <x:c r="L9" s="25"/>
      <x:c r="M9" s="14"/>
      <x:c r="N9" s="14"/>
    </x:row>
    <x:row r="10">
      <x:c r="A10" s="14"/>
      <x:c r="B10" s="14"/>
      <x:c r="C10" s="14"/>
      <x:c r="D10" s="14"/>
      <x:c r="E10" s="14"/>
      <x:c r="F10" s="22"/>
      <x:c r="G10" s="22"/>
      <x:c r="H10" s="28"/>
      <x:c r="I10" s="22" t="n">
        <x:f>(F10*12+G10)*H10</x:f>
        <x:v>0</x:v>
      </x:c>
      <x:c r="J10" s="25"/>
      <x:c r="K10" s="14"/>
      <x:c r="L10" s="25"/>
      <x:c r="M10" s="14"/>
      <x:c r="N10" s="14"/>
    </x:row>
    <x:row r="11">
      <x:c r="A11" s="14"/>
      <x:c r="B11" s="14"/>
      <x:c r="C11" s="14"/>
      <x:c r="D11" s="14"/>
      <x:c r="E11" s="14"/>
      <x:c r="F11" s="22"/>
      <x:c r="G11" s="22"/>
      <x:c r="H11" s="28"/>
      <x:c r="I11" s="22" t="n">
        <x:f>(F11*12+G11)*H11</x:f>
        <x:v>0</x:v>
      </x:c>
      <x:c r="J11" s="25"/>
      <x:c r="K11" s="14"/>
      <x:c r="L11" s="25"/>
      <x:c r="M11" s="14"/>
      <x:c r="N11" s="14"/>
    </x:row>
    <x:row r="12">
      <x:c r="A12" s="14"/>
      <x:c r="B12" s="14"/>
      <x:c r="C12" s="14"/>
      <x:c r="D12" s="14"/>
      <x:c r="E12" s="14"/>
      <x:c r="F12" s="22"/>
      <x:c r="G12" s="22"/>
      <x:c r="H12" s="28"/>
      <x:c r="I12" s="22" t="n">
        <x:f>(F12*12+G12)*H12</x:f>
        <x:v>0</x:v>
      </x:c>
      <x:c r="J12" s="25"/>
      <x:c r="K12" s="14"/>
      <x:c r="L12" s="25"/>
      <x:c r="M12" s="14"/>
      <x:c r="N12" s="14"/>
    </x:row>
    <x:row r="13">
      <x:c r="A13" s="14"/>
      <x:c r="B13" s="14"/>
      <x:c r="C13" s="14"/>
      <x:c r="D13" s="14"/>
      <x:c r="E13" s="14"/>
      <x:c r="F13" s="22"/>
      <x:c r="G13" s="22"/>
      <x:c r="H13" s="28"/>
      <x:c r="I13" s="22" t="n">
        <x:f>(F13*12+G13)*H13</x:f>
        <x:v>0</x:v>
      </x:c>
      <x:c r="J13" s="25"/>
      <x:c r="K13" s="14"/>
      <x:c r="L13" s="25"/>
      <x:c r="M13" s="14"/>
      <x:c r="N13" s="14"/>
    </x:row>
    <x:row r="14">
      <x:c r="A14" s="14"/>
      <x:c r="B14" s="14"/>
      <x:c r="C14" s="14"/>
      <x:c r="D14" s="14"/>
      <x:c r="E14" s="14"/>
      <x:c r="F14" s="22"/>
      <x:c r="G14" s="22"/>
      <x:c r="H14" s="28"/>
      <x:c r="I14" s="22" t="n">
        <x:f>(F14*12+G14)*H14</x:f>
        <x:v>0</x:v>
      </x:c>
      <x:c r="J14" s="25"/>
      <x:c r="K14" s="14"/>
      <x:c r="L14" s="25"/>
      <x:c r="M14" s="14"/>
      <x:c r="N14" s="14"/>
    </x:row>
    <x:row r="15">
      <x:c r="A15" s="14"/>
      <x:c r="B15" s="14"/>
      <x:c r="C15" s="14"/>
      <x:c r="D15" s="14"/>
      <x:c r="E15" s="14"/>
      <x:c r="F15" s="22"/>
      <x:c r="G15" s="22"/>
      <x:c r="H15" s="28"/>
      <x:c r="I15" s="22" t="n">
        <x:f>(F15*12+G15)*H15</x:f>
        <x:v>0</x:v>
      </x:c>
      <x:c r="J15" s="25"/>
      <x:c r="K15" s="14"/>
      <x:c r="L15" s="25"/>
      <x:c r="M15" s="14"/>
      <x:c r="N15" s="14"/>
    </x:row>
    <x:row r="16">
      <x:c r="A16" s="14"/>
      <x:c r="B16" s="14"/>
      <x:c r="C16" s="14"/>
      <x:c r="D16" s="14"/>
      <x:c r="E16" s="14"/>
      <x:c r="F16" s="22"/>
      <x:c r="G16" s="22"/>
      <x:c r="H16" s="28"/>
      <x:c r="I16" s="22" t="n">
        <x:f>(F16*12+G16)*H16</x:f>
        <x:v>0</x:v>
      </x:c>
      <x:c r="J16" s="25"/>
      <x:c r="K16" s="14"/>
      <x:c r="L16" s="25"/>
      <x:c r="M16" s="14"/>
      <x:c r="N16" s="14"/>
    </x:row>
    <x:row r="17">
      <x:c r="A17" s="14"/>
      <x:c r="B17" s="14"/>
      <x:c r="C17" s="14"/>
      <x:c r="D17" s="14"/>
      <x:c r="E17" s="14"/>
      <x:c r="F17" s="22"/>
      <x:c r="G17" s="22"/>
      <x:c r="H17" s="28"/>
      <x:c r="I17" s="22" t="n">
        <x:f>(F17*12+G17)*H17</x:f>
        <x:v>0</x:v>
      </x:c>
      <x:c r="J17" s="25"/>
      <x:c r="K17" s="14"/>
      <x:c r="L17" s="25"/>
      <x:c r="M17" s="14"/>
      <x:c r="N17" s="14"/>
    </x:row>
    <x:row r="18">
      <x:c r="A18" s="14"/>
      <x:c r="B18" s="14"/>
      <x:c r="C18" s="14"/>
      <x:c r="D18" s="14"/>
      <x:c r="E18" s="14"/>
      <x:c r="F18" s="22"/>
      <x:c r="G18" s="22"/>
      <x:c r="H18" s="28"/>
      <x:c r="I18" s="22" t="n">
        <x:f>(F18*12+G18)*H18</x:f>
        <x:v>0</x:v>
      </x:c>
      <x:c r="J18" s="25"/>
      <x:c r="K18" s="14"/>
      <x:c r="L18" s="25"/>
      <x:c r="M18" s="14"/>
      <x:c r="N18" s="14"/>
    </x:row>
    <x:row r="19">
      <x:c r="A19" s="14"/>
      <x:c r="B19" s="14"/>
      <x:c r="C19" s="14"/>
      <x:c r="D19" s="14"/>
      <x:c r="E19" s="14"/>
      <x:c r="F19" s="22"/>
      <x:c r="G19" s="22"/>
      <x:c r="H19" s="28"/>
      <x:c r="I19" s="22" t="n">
        <x:f>(F19*12+G19)*H19</x:f>
        <x:v>0</x:v>
      </x:c>
      <x:c r="J19" s="25"/>
      <x:c r="K19" s="14"/>
      <x:c r="L19" s="25"/>
      <x:c r="M19" s="14"/>
      <x:c r="N19" s="14"/>
    </x:row>
    <x:row r="20">
      <x:c r="A20" s="14"/>
      <x:c r="B20" s="14"/>
      <x:c r="C20" s="14"/>
      <x:c r="D20" s="14"/>
      <x:c r="E20" s="14"/>
      <x:c r="F20" s="22"/>
      <x:c r="G20" s="22"/>
      <x:c r="H20" s="28"/>
      <x:c r="I20" s="22" t="n">
        <x:f>(F20*12+G20)*H20</x:f>
        <x:v>0</x:v>
      </x:c>
      <x:c r="J20" s="25"/>
      <x:c r="K20" s="14"/>
      <x:c r="L20" s="25"/>
      <x:c r="M20" s="14"/>
      <x:c r="N20" s="14"/>
    </x:row>
    <x:row r="21">
      <x:c r="A21" s="14"/>
      <x:c r="B21" s="14"/>
      <x:c r="C21" s="14"/>
      <x:c r="D21" s="14"/>
      <x:c r="E21" s="14"/>
      <x:c r="F21" s="22"/>
      <x:c r="G21" s="22"/>
      <x:c r="H21" s="28"/>
      <x:c r="I21" s="22" t="n">
        <x:f>(F21*12+G21)*H21</x:f>
        <x:v>0</x:v>
      </x:c>
      <x:c r="J21" s="25"/>
      <x:c r="K21" s="14"/>
      <x:c r="L21" s="25"/>
      <x:c r="M21" s="14"/>
      <x:c r="N21" s="14"/>
    </x:row>
    <x:row r="22">
      <x:c r="A22" s="14"/>
      <x:c r="B22" s="14"/>
      <x:c r="C22" s="14"/>
      <x:c r="D22" s="14"/>
      <x:c r="E22" s="14"/>
      <x:c r="F22" s="22"/>
      <x:c r="G22" s="22"/>
      <x:c r="H22" s="28"/>
      <x:c r="I22" s="22" t="n">
        <x:f>(F22*12+G22)*H22</x:f>
        <x:v>0</x:v>
      </x:c>
      <x:c r="J22" s="25"/>
      <x:c r="K22" s="14"/>
      <x:c r="L22" s="25"/>
      <x:c r="M22" s="14"/>
      <x:c r="N22" s="14"/>
    </x:row>
    <x:row r="23">
      <x:c r="A23" s="14"/>
      <x:c r="B23" s="14"/>
      <x:c r="C23" s="14"/>
      <x:c r="D23" s="14"/>
      <x:c r="E23" s="14"/>
      <x:c r="F23" s="22"/>
      <x:c r="G23" s="22"/>
      <x:c r="H23" s="28"/>
      <x:c r="I23" s="22" t="n">
        <x:f>(F23*12+G23)*H23</x:f>
        <x:v>0</x:v>
      </x:c>
      <x:c r="J23" s="25"/>
      <x:c r="K23" s="14"/>
      <x:c r="L23" s="25"/>
      <x:c r="M23" s="14"/>
      <x:c r="N23" s="14"/>
    </x:row>
    <x:row r="24">
      <x:c r="A24" s="14"/>
      <x:c r="B24" s="14"/>
      <x:c r="C24" s="14"/>
      <x:c r="D24" s="14"/>
      <x:c r="E24" s="14"/>
      <x:c r="F24" s="22"/>
      <x:c r="G24" s="22"/>
      <x:c r="H24" s="28"/>
      <x:c r="I24" s="22" t="n">
        <x:f>(F24*12+G24)*H24</x:f>
        <x:v>0</x:v>
      </x:c>
      <x:c r="J24" s="25"/>
      <x:c r="K24" s="14"/>
      <x:c r="L24" s="25"/>
      <x:c r="M24" s="14"/>
      <x:c r="N24" s="14"/>
    </x:row>
    <x:row r="25">
      <x:c r="A25" s="14"/>
      <x:c r="B25" s="14"/>
      <x:c r="C25" s="14"/>
      <x:c r="D25" s="14"/>
      <x:c r="E25" s="14"/>
      <x:c r="F25" s="22"/>
      <x:c r="G25" s="22"/>
      <x:c r="H25" s="28"/>
      <x:c r="I25" s="22" t="n">
        <x:f>(F25*12+G25)*H25</x:f>
        <x:v>0</x:v>
      </x:c>
      <x:c r="J25" s="25"/>
      <x:c r="K25" s="14"/>
      <x:c r="L25" s="25"/>
      <x:c r="M25" s="14"/>
      <x:c r="N25" s="14"/>
    </x:row>
    <x:row r="26">
      <x:c r="A26" s="14"/>
      <x:c r="B26" s="14"/>
      <x:c r="C26" s="14"/>
      <x:c r="D26" s="14"/>
      <x:c r="E26" s="14"/>
      <x:c r="F26" s="22"/>
      <x:c r="G26" s="22"/>
      <x:c r="H26" s="28"/>
      <x:c r="I26" s="22" t="n">
        <x:f>(F26*12+G26)*H26</x:f>
        <x:v>0</x:v>
      </x:c>
      <x:c r="J26" s="25"/>
      <x:c r="K26" s="14"/>
      <x:c r="L26" s="25"/>
      <x:c r="M26" s="14"/>
      <x:c r="N26" s="14"/>
    </x:row>
    <x:row r="27">
      <x:c r="A27" s="14"/>
      <x:c r="B27" s="14"/>
      <x:c r="C27" s="14"/>
      <x:c r="D27" s="14"/>
      <x:c r="E27" s="14"/>
      <x:c r="F27" s="22"/>
      <x:c r="G27" s="22"/>
      <x:c r="H27" s="28"/>
      <x:c r="I27" s="22" t="n">
        <x:f>(F27*12+G27)*H27</x:f>
        <x:v>0</x:v>
      </x:c>
      <x:c r="J27" s="25"/>
      <x:c r="K27" s="14"/>
      <x:c r="L27" s="25"/>
      <x:c r="M27" s="14"/>
      <x:c r="N27" s="14"/>
    </x:row>
    <x:row r="28">
      <x:c r="A28" s="14"/>
      <x:c r="B28" s="14"/>
      <x:c r="C28" s="14"/>
      <x:c r="D28" s="14"/>
      <x:c r="E28" s="14"/>
      <x:c r="F28" s="22"/>
      <x:c r="G28" s="22"/>
      <x:c r="H28" s="28"/>
      <x:c r="I28" s="22" t="n">
        <x:f>(F28*12+G28)*H28</x:f>
        <x:v>0</x:v>
      </x:c>
      <x:c r="J28" s="25"/>
      <x:c r="K28" s="14"/>
      <x:c r="L28" s="25"/>
      <x:c r="M28" s="14"/>
      <x:c r="N28" s="14"/>
    </x:row>
    <x:row r="29">
      <x:c r="A29" s="14"/>
      <x:c r="B29" s="14"/>
      <x:c r="C29" s="14"/>
      <x:c r="D29" s="14"/>
      <x:c r="E29" s="14"/>
      <x:c r="F29" s="22"/>
      <x:c r="G29" s="22"/>
      <x:c r="H29" s="28"/>
      <x:c r="I29" s="22" t="n">
        <x:f>(F29*12+G29)*H29</x:f>
        <x:v>0</x:v>
      </x:c>
      <x:c r="J29" s="25"/>
      <x:c r="K29" s="14"/>
      <x:c r="L29" s="25"/>
      <x:c r="M29" s="14"/>
      <x:c r="N29" s="14"/>
    </x:row>
    <x:row r="30">
      <x:c r="A30" s="14"/>
      <x:c r="B30" s="14"/>
      <x:c r="C30" s="14"/>
      <x:c r="D30" s="14"/>
      <x:c r="E30" s="14"/>
      <x:c r="F30" s="22"/>
      <x:c r="G30" s="22"/>
      <x:c r="H30" s="28"/>
      <x:c r="I30" s="22" t="n">
        <x:f>(F30*12+G30)*H30</x:f>
        <x:v>0</x:v>
      </x:c>
      <x:c r="J30" s="25"/>
      <x:c r="K30" s="14"/>
      <x:c r="L30" s="25"/>
      <x:c r="M30" s="14"/>
      <x:c r="N30" s="14"/>
    </x:row>
    <x:row r="31">
      <x:c r="A31" s="14"/>
      <x:c r="B31" s="14"/>
      <x:c r="C31" s="14"/>
      <x:c r="D31" s="14"/>
      <x:c r="E31" s="14"/>
      <x:c r="F31" s="22"/>
      <x:c r="G31" s="22"/>
      <x:c r="H31" s="28"/>
      <x:c r="I31" s="22" t="n">
        <x:f>(F31*12+G31)*H31</x:f>
        <x:v>0</x:v>
      </x:c>
      <x:c r="J31" s="25"/>
      <x:c r="K31" s="14"/>
      <x:c r="L31" s="25"/>
      <x:c r="M31" s="14"/>
      <x:c r="N31" s="14"/>
    </x:row>
    <x:row r="32">
      <x:c r="A32" s="14"/>
      <x:c r="B32" s="14"/>
      <x:c r="C32" s="14"/>
      <x:c r="D32" s="14"/>
      <x:c r="E32" s="14"/>
      <x:c r="F32" s="22"/>
      <x:c r="G32" s="22"/>
      <x:c r="H32" s="28"/>
      <x:c r="I32" s="22" t="n">
        <x:f>(F32*12+G32)*H32</x:f>
        <x:v>0</x:v>
      </x:c>
      <x:c r="J32" s="25"/>
      <x:c r="K32" s="14"/>
      <x:c r="L32" s="25"/>
      <x:c r="M32" s="14"/>
      <x:c r="N32" s="14"/>
    </x:row>
    <x:row r="33">
      <x:c r="A33" s="14"/>
      <x:c r="B33" s="14"/>
      <x:c r="C33" s="14"/>
      <x:c r="D33" s="14"/>
      <x:c r="E33" s="14"/>
      <x:c r="F33" s="22"/>
      <x:c r="G33" s="22"/>
      <x:c r="H33" s="28"/>
      <x:c r="I33" s="22" t="n">
        <x:f>(F33*12+G33)*H33</x:f>
        <x:v>0</x:v>
      </x:c>
      <x:c r="J33" s="25"/>
      <x:c r="K33" s="14"/>
      <x:c r="L33" s="25"/>
      <x:c r="M33" s="14"/>
      <x:c r="N33" s="14"/>
    </x:row>
    <x:row r="34">
      <x:c r="A34" s="14"/>
      <x:c r="B34" s="14"/>
      <x:c r="C34" s="14"/>
      <x:c r="D34" s="14"/>
      <x:c r="E34" s="14"/>
      <x:c r="F34" s="22"/>
      <x:c r="G34" s="22"/>
      <x:c r="H34" s="28"/>
      <x:c r="I34" s="22" t="n">
        <x:f>(F34*12+G34)*H34</x:f>
        <x:v>0</x:v>
      </x:c>
      <x:c r="J34" s="25"/>
      <x:c r="K34" s="14"/>
      <x:c r="L34" s="25"/>
      <x:c r="M34" s="14"/>
      <x:c r="N34" s="14"/>
    </x:row>
    <x:row r="35">
      <x:c r="A35" s="14"/>
      <x:c r="B35" s="14"/>
      <x:c r="C35" s="14"/>
      <x:c r="D35" s="14"/>
      <x:c r="E35" s="14"/>
      <x:c r="F35" s="22"/>
      <x:c r="G35" s="22"/>
      <x:c r="H35" s="28"/>
      <x:c r="I35" s="22" t="n">
        <x:f>(F35*12+G35)*H35</x:f>
        <x:v>0</x:v>
      </x:c>
      <x:c r="J35" s="25"/>
      <x:c r="K35" s="14"/>
      <x:c r="L35" s="25"/>
      <x:c r="M35" s="14"/>
      <x:c r="N35" s="14"/>
    </x:row>
    <x:row r="36">
      <x:c r="A36" s="14"/>
      <x:c r="B36" s="14"/>
      <x:c r="C36" s="14"/>
      <x:c r="D36" s="14"/>
      <x:c r="E36" s="14"/>
      <x:c r="F36" s="22"/>
      <x:c r="G36" s="22"/>
      <x:c r="H36" s="28"/>
      <x:c r="I36" s="22" t="n">
        <x:f>(F36*12+G36)*H36</x:f>
        <x:v>0</x:v>
      </x:c>
      <x:c r="J36" s="25"/>
      <x:c r="K36" s="14"/>
      <x:c r="L36" s="25"/>
      <x:c r="M36" s="14"/>
      <x:c r="N36" s="14"/>
    </x:row>
    <x:row r="37">
      <x:c r="A37" s="14"/>
      <x:c r="B37" s="14"/>
      <x:c r="C37" s="14"/>
      <x:c r="D37" s="14"/>
      <x:c r="E37" s="14"/>
      <x:c r="F37" s="22"/>
      <x:c r="G37" s="22"/>
      <x:c r="H37" s="28"/>
      <x:c r="I37" s="22" t="n">
        <x:f>(F37*12+G37)*H37</x:f>
        <x:v>0</x:v>
      </x:c>
      <x:c r="J37" s="25"/>
      <x:c r="K37" s="14"/>
      <x:c r="L37" s="25"/>
      <x:c r="M37" s="14"/>
      <x:c r="N37" s="14"/>
    </x:row>
    <x:row r="38">
      <x:c r="A38" s="14"/>
      <x:c r="B38" s="14"/>
      <x:c r="C38" s="14"/>
      <x:c r="D38" s="14"/>
      <x:c r="E38" s="14"/>
      <x:c r="F38" s="22"/>
      <x:c r="G38" s="22"/>
      <x:c r="H38" s="28"/>
      <x:c r="I38" s="22" t="n">
        <x:f>(F38*12+G38)*H38</x:f>
        <x:v>0</x:v>
      </x:c>
      <x:c r="J38" s="25"/>
      <x:c r="K38" s="14"/>
      <x:c r="L38" s="25"/>
      <x:c r="M38" s="14"/>
      <x:c r="N38" s="14"/>
    </x:row>
    <x:row r="39">
      <x:c r="A39" s="14"/>
      <x:c r="B39" s="14"/>
      <x:c r="C39" s="14"/>
      <x:c r="D39" s="14"/>
      <x:c r="E39" s="14"/>
      <x:c r="F39" s="22"/>
      <x:c r="G39" s="22"/>
      <x:c r="H39" s="28"/>
      <x:c r="I39" s="22" t="n">
        <x:f>(F39*12+G39)*H39</x:f>
        <x:v>0</x:v>
      </x:c>
      <x:c r="J39" s="25"/>
      <x:c r="K39" s="14"/>
      <x:c r="L39" s="25"/>
      <x:c r="M39" s="14"/>
      <x:c r="N39" s="14"/>
    </x:row>
    <x:row r="40">
      <x:c r="A40" s="14"/>
      <x:c r="B40" s="14"/>
      <x:c r="C40" s="14"/>
      <x:c r="D40" s="14"/>
      <x:c r="E40" s="14"/>
      <x:c r="F40" s="22"/>
      <x:c r="G40" s="22"/>
      <x:c r="H40" s="28"/>
      <x:c r="I40" s="22" t="n">
        <x:f>(F40*12+G40)*H40</x:f>
        <x:v>0</x:v>
      </x:c>
      <x:c r="J40" s="25"/>
      <x:c r="K40" s="14"/>
      <x:c r="L40" s="25"/>
      <x:c r="M40" s="14"/>
      <x:c r="N40" s="14"/>
    </x:row>
    <x:row r="41">
      <x:c r="A41" s="14"/>
      <x:c r="B41" s="14"/>
      <x:c r="C41" s="14"/>
      <x:c r="D41" s="14"/>
      <x:c r="E41" s="14"/>
      <x:c r="F41" s="22"/>
      <x:c r="G41" s="22"/>
      <x:c r="H41" s="28"/>
      <x:c r="I41" s="22" t="n">
        <x:f>(F41*12+G41)*H41</x:f>
        <x:v>0</x:v>
      </x:c>
      <x:c r="J41" s="25"/>
      <x:c r="K41" s="14"/>
      <x:c r="L41" s="25"/>
      <x:c r="M41" s="14"/>
      <x:c r="N41" s="14"/>
    </x:row>
    <x:row r="42">
      <x:c r="A42" s="14"/>
      <x:c r="B42" s="14"/>
      <x:c r="C42" s="14"/>
      <x:c r="D42" s="14"/>
      <x:c r="E42" s="14"/>
      <x:c r="F42" s="22"/>
      <x:c r="G42" s="22"/>
      <x:c r="H42" s="28"/>
      <x:c r="I42" s="22" t="n">
        <x:f>(F42*12+G42)*H42</x:f>
        <x:v>0</x:v>
      </x:c>
      <x:c r="J42" s="25"/>
      <x:c r="K42" s="14"/>
      <x:c r="L42" s="25"/>
      <x:c r="M42" s="14"/>
      <x:c r="N42" s="14"/>
    </x:row>
    <x:row r="43">
      <x:c r="A43" s="14"/>
      <x:c r="B43" s="14"/>
      <x:c r="C43" s="14"/>
      <x:c r="D43" s="14"/>
      <x:c r="E43" s="14"/>
      <x:c r="F43" s="22"/>
      <x:c r="G43" s="22"/>
      <x:c r="H43" s="28"/>
      <x:c r="I43" s="22" t="n">
        <x:f>(F43*12+G43)*H43</x:f>
        <x:v>0</x:v>
      </x:c>
      <x:c r="J43" s="25"/>
      <x:c r="K43" s="14"/>
      <x:c r="L43" s="25"/>
      <x:c r="M43" s="14"/>
      <x:c r="N43" s="14"/>
    </x:row>
    <x:row r="44">
      <x:c r="A44" s="14"/>
      <x:c r="B44" s="14"/>
      <x:c r="C44" s="14"/>
      <x:c r="D44" s="14"/>
      <x:c r="E44" s="14"/>
      <x:c r="F44" s="22"/>
      <x:c r="G44" s="22"/>
      <x:c r="H44" s="28"/>
      <x:c r="I44" s="22" t="n">
        <x:f>(F44*12+G44)*H44</x:f>
        <x:v>0</x:v>
      </x:c>
      <x:c r="J44" s="25"/>
      <x:c r="K44" s="14"/>
      <x:c r="L44" s="25"/>
      <x:c r="M44" s="14"/>
      <x:c r="N44" s="14"/>
    </x:row>
    <x:row r="45">
      <x:c r="A45" s="14"/>
      <x:c r="B45" s="14"/>
      <x:c r="C45" s="14"/>
      <x:c r="D45" s="14"/>
      <x:c r="E45" s="14"/>
      <x:c r="F45" s="22"/>
      <x:c r="G45" s="22"/>
      <x:c r="H45" s="28"/>
      <x:c r="I45" s="22" t="n">
        <x:f>(F45*12+G45)*H45</x:f>
        <x:v>0</x:v>
      </x:c>
      <x:c r="J45" s="25"/>
      <x:c r="K45" s="14"/>
      <x:c r="L45" s="25"/>
      <x:c r="M45" s="14"/>
      <x:c r="N45" s="14"/>
    </x:row>
    <x:row r="46">
      <x:c r="A46" s="14"/>
      <x:c r="B46" s="14"/>
      <x:c r="C46" s="14"/>
      <x:c r="D46" s="14"/>
      <x:c r="E46" s="14"/>
      <x:c r="F46" s="22"/>
      <x:c r="G46" s="22"/>
      <x:c r="H46" s="28"/>
      <x:c r="I46" s="22" t="n">
        <x:f>(F46*12+G46)*H46</x:f>
        <x:v>0</x:v>
      </x:c>
      <x:c r="J46" s="25"/>
      <x:c r="K46" s="14"/>
      <x:c r="L46" s="25"/>
      <x:c r="M46" s="14"/>
      <x:c r="N46" s="14"/>
    </x:row>
    <x:row r="47">
      <x:c r="A47" s="14"/>
      <x:c r="B47" s="14"/>
      <x:c r="C47" s="14"/>
      <x:c r="D47" s="14"/>
      <x:c r="E47" s="14"/>
      <x:c r="F47" s="22"/>
      <x:c r="G47" s="22"/>
      <x:c r="H47" s="28"/>
      <x:c r="I47" s="22" t="n">
        <x:f>(F47*12+G47)*H47</x:f>
        <x:v>0</x:v>
      </x:c>
      <x:c r="J47" s="25"/>
      <x:c r="K47" s="14"/>
      <x:c r="L47" s="25"/>
      <x:c r="M47" s="14"/>
      <x:c r="N47" s="14"/>
    </x:row>
    <x:row r="48">
      <x:c r="A48" s="14"/>
      <x:c r="B48" s="14"/>
      <x:c r="C48" s="14"/>
      <x:c r="D48" s="14"/>
      <x:c r="E48" s="14"/>
      <x:c r="F48" s="22"/>
      <x:c r="G48" s="22"/>
      <x:c r="H48" s="28"/>
      <x:c r="I48" s="22" t="n">
        <x:f>(F48*12+G48)*H48</x:f>
        <x:v>0</x:v>
      </x:c>
      <x:c r="J48" s="25"/>
      <x:c r="K48" s="14"/>
      <x:c r="L48" s="25"/>
      <x:c r="M48" s="14"/>
      <x:c r="N48" s="14"/>
    </x:row>
    <x:row r="49">
      <x:c r="A49" s="14"/>
      <x:c r="B49" s="14"/>
      <x:c r="C49" s="14"/>
      <x:c r="D49" s="14"/>
      <x:c r="E49" s="14"/>
      <x:c r="F49" s="22"/>
      <x:c r="G49" s="22"/>
      <x:c r="H49" s="28"/>
      <x:c r="I49" s="22" t="n">
        <x:f>(F49*12+G49)*H49</x:f>
        <x:v>0</x:v>
      </x:c>
      <x:c r="J49" s="25"/>
      <x:c r="K49" s="14"/>
      <x:c r="L49" s="25"/>
      <x:c r="M49" s="14"/>
      <x:c r="N49" s="14"/>
    </x:row>
    <x:row r="50">
      <x:c r="A50" s="14"/>
      <x:c r="B50" s="14"/>
      <x:c r="C50" s="14"/>
      <x:c r="D50" s="14"/>
      <x:c r="E50" s="14"/>
      <x:c r="F50" s="22"/>
      <x:c r="G50" s="22"/>
      <x:c r="H50" s="28"/>
      <x:c r="I50" s="22" t="n">
        <x:f>(F50*12+G50)*H50</x:f>
        <x:v>0</x:v>
      </x:c>
      <x:c r="J50" s="25"/>
      <x:c r="K50" s="14"/>
      <x:c r="L50" s="25"/>
      <x:c r="M50" s="14"/>
      <x:c r="N50" s="14"/>
    </x:row>
    <x:row r="51">
      <x:c r="A51" s="14"/>
      <x:c r="B51" s="14"/>
      <x:c r="C51" s="14"/>
      <x:c r="D51" s="14"/>
      <x:c r="E51" s="14"/>
      <x:c r="F51" s="22"/>
      <x:c r="G51" s="22"/>
      <x:c r="H51" s="28"/>
      <x:c r="I51" s="22" t="n">
        <x:f>(F51*12+G51)*H51</x:f>
        <x:v>0</x:v>
      </x:c>
      <x:c r="J51" s="25"/>
      <x:c r="K51" s="14"/>
      <x:c r="L51" s="25"/>
      <x:c r="M51" s="14"/>
      <x:c r="N51" s="14"/>
    </x:row>
    <x:row r="52">
      <x:c r="A52" s="14"/>
      <x:c r="B52" s="14"/>
      <x:c r="C52" s="14"/>
      <x:c r="D52" s="14"/>
      <x:c r="E52" s="14"/>
      <x:c r="F52" s="22"/>
      <x:c r="G52" s="22"/>
      <x:c r="H52" s="28"/>
      <x:c r="I52" s="22" t="n">
        <x:f>(F52*12+G52)*H52</x:f>
        <x:v>0</x:v>
      </x:c>
      <x:c r="J52" s="25"/>
      <x:c r="K52" s="14"/>
      <x:c r="L52" s="25"/>
      <x:c r="M52" s="14"/>
      <x:c r="N52" s="14"/>
    </x:row>
    <x:row r="53">
      <x:c r="A53" s="14"/>
      <x:c r="B53" s="14"/>
      <x:c r="C53" s="14"/>
      <x:c r="D53" s="14"/>
      <x:c r="E53" s="14"/>
      <x:c r="F53" s="22"/>
      <x:c r="G53" s="22"/>
      <x:c r="H53" s="28"/>
      <x:c r="I53" s="22" t="n">
        <x:f>(F53*12+G53)*H53</x:f>
        <x:v>0</x:v>
      </x:c>
      <x:c r="J53" s="25"/>
      <x:c r="K53" s="14"/>
      <x:c r="L53" s="25"/>
      <x:c r="M53" s="14"/>
      <x:c r="N53" s="14"/>
    </x:row>
    <x:row r="54">
      <x:c r="A54" s="14"/>
      <x:c r="B54" s="14"/>
      <x:c r="C54" s="14"/>
      <x:c r="D54" s="14"/>
      <x:c r="E54" s="14"/>
      <x:c r="F54" s="22"/>
      <x:c r="G54" s="22"/>
      <x:c r="H54" s="28"/>
      <x:c r="I54" s="22" t="n">
        <x:f>(F54*12+G54)*H54</x:f>
        <x:v>0</x:v>
      </x:c>
      <x:c r="J54" s="25"/>
      <x:c r="K54" s="14"/>
      <x:c r="L54" s="25"/>
      <x:c r="M54" s="14"/>
      <x:c r="N54" s="14"/>
    </x:row>
    <x:row r="55">
      <x:c r="A55" s="14"/>
      <x:c r="B55" s="14"/>
      <x:c r="C55" s="14"/>
      <x:c r="D55" s="14"/>
      <x:c r="E55" s="14"/>
      <x:c r="F55" s="22"/>
      <x:c r="G55" s="22"/>
      <x:c r="H55" s="28"/>
      <x:c r="I55" s="22" t="n">
        <x:f>(F55*12+G55)*H55</x:f>
        <x:v>0</x:v>
      </x:c>
      <x:c r="J55" s="25"/>
      <x:c r="K55" s="14"/>
      <x:c r="L55" s="25"/>
      <x:c r="M55" s="14"/>
      <x:c r="N55" s="14"/>
    </x:row>
    <x:row r="56">
      <x:c r="A56" s="14"/>
      <x:c r="B56" s="14"/>
      <x:c r="C56" s="14"/>
      <x:c r="D56" s="14"/>
      <x:c r="E56" s="14"/>
      <x:c r="F56" s="22"/>
      <x:c r="G56" s="22"/>
      <x:c r="H56" s="28"/>
      <x:c r="I56" s="22" t="n">
        <x:f>(F56*12+G56)*H56</x:f>
        <x:v>0</x:v>
      </x:c>
      <x:c r="J56" s="25"/>
      <x:c r="K56" s="14"/>
      <x:c r="L56" s="25"/>
      <x:c r="M56" s="14"/>
      <x:c r="N56" s="14"/>
    </x:row>
    <x:row r="57">
      <x:c r="A57" s="14"/>
      <x:c r="B57" s="14"/>
      <x:c r="C57" s="14"/>
      <x:c r="D57" s="14"/>
      <x:c r="E57" s="14"/>
      <x:c r="F57" s="22"/>
      <x:c r="G57" s="22"/>
      <x:c r="H57" s="28"/>
      <x:c r="I57" s="22" t="n">
        <x:f>(F57*12+G57)*H57</x:f>
        <x:v>0</x:v>
      </x:c>
      <x:c r="J57" s="25"/>
      <x:c r="K57" s="14"/>
      <x:c r="L57" s="25"/>
      <x:c r="M57" s="14"/>
      <x:c r="N57" s="14"/>
    </x:row>
    <x:row r="58">
      <x:c r="A58" s="14"/>
      <x:c r="B58" s="14"/>
      <x:c r="C58" s="14"/>
      <x:c r="D58" s="14"/>
      <x:c r="E58" s="14"/>
      <x:c r="F58" s="22"/>
      <x:c r="G58" s="22"/>
      <x:c r="H58" s="28"/>
      <x:c r="I58" s="22" t="n">
        <x:f>(F58*12+G58)*H58</x:f>
        <x:v>0</x:v>
      </x:c>
      <x:c r="J58" s="25"/>
      <x:c r="K58" s="14"/>
      <x:c r="L58" s="25"/>
      <x:c r="M58" s="14"/>
      <x:c r="N58" s="14"/>
    </x:row>
    <x:row r="59">
      <x:c r="A59" s="14"/>
      <x:c r="B59" s="14"/>
      <x:c r="C59" s="14"/>
      <x:c r="D59" s="14"/>
      <x:c r="E59" s="14"/>
      <x:c r="F59" s="22"/>
      <x:c r="G59" s="22"/>
      <x:c r="H59" s="28"/>
      <x:c r="I59" s="22" t="n">
        <x:f>(F59*12+G59)*H59</x:f>
        <x:v>0</x:v>
      </x:c>
      <x:c r="J59" s="25"/>
      <x:c r="K59" s="14"/>
      <x:c r="L59" s="25"/>
      <x:c r="M59" s="14"/>
      <x:c r="N59" s="14"/>
    </x:row>
    <x:row r="60">
      <x:c r="A60" s="14"/>
      <x:c r="B60" s="14"/>
      <x:c r="C60" s="14"/>
      <x:c r="D60" s="14"/>
      <x:c r="E60" s="14"/>
      <x:c r="F60" s="22"/>
      <x:c r="G60" s="22"/>
      <x:c r="H60" s="28"/>
      <x:c r="I60" s="22" t="n">
        <x:f>(F60*12+G60)*H60</x:f>
        <x:v>0</x:v>
      </x:c>
      <x:c r="J60" s="25"/>
      <x:c r="K60" s="14"/>
      <x:c r="L60" s="25"/>
      <x:c r="M60" s="14"/>
      <x:c r="N60" s="14"/>
    </x:row>
    <x:row r="61">
      <x:c r="A61" s="14"/>
      <x:c r="B61" s="14"/>
      <x:c r="C61" s="14"/>
      <x:c r="D61" s="14"/>
      <x:c r="E61" s="14"/>
      <x:c r="F61" s="22"/>
      <x:c r="G61" s="22"/>
      <x:c r="H61" s="28"/>
      <x:c r="I61" s="22" t="n">
        <x:f>(F61*12+G61)*H61</x:f>
        <x:v>0</x:v>
      </x:c>
      <x:c r="J61" s="25"/>
      <x:c r="K61" s="14"/>
      <x:c r="L61" s="25"/>
      <x:c r="M61" s="14"/>
      <x:c r="N61" s="14"/>
    </x:row>
    <x:row r="62">
      <x:c r="A62" s="14"/>
      <x:c r="B62" s="14"/>
      <x:c r="C62" s="14"/>
      <x:c r="D62" s="14"/>
      <x:c r="E62" s="14"/>
      <x:c r="F62" s="22"/>
      <x:c r="G62" s="22"/>
      <x:c r="H62" s="28"/>
      <x:c r="I62" s="22" t="n">
        <x:f>(F62*12+G62)*H62</x:f>
        <x:v>0</x:v>
      </x:c>
      <x:c r="J62" s="25"/>
      <x:c r="K62" s="14"/>
      <x:c r="L62" s="25"/>
      <x:c r="M62" s="14"/>
      <x:c r="N62" s="14"/>
    </x:row>
    <x:row r="63">
      <x:c r="A63" s="14"/>
      <x:c r="B63" s="14"/>
      <x:c r="C63" s="14"/>
      <x:c r="D63" s="14"/>
      <x:c r="E63" s="14"/>
      <x:c r="F63" s="22"/>
      <x:c r="G63" s="22"/>
      <x:c r="H63" s="28"/>
      <x:c r="I63" s="22" t="n">
        <x:f>(F63*12+G63)*H63</x:f>
        <x:v>0</x:v>
      </x:c>
      <x:c r="J63" s="25"/>
      <x:c r="K63" s="14"/>
      <x:c r="L63" s="25"/>
      <x:c r="M63" s="14"/>
      <x:c r="N63" s="14"/>
    </x:row>
    <x:row r="64">
      <x:c r="A64" s="14"/>
      <x:c r="B64" s="14"/>
      <x:c r="C64" s="14"/>
      <x:c r="D64" s="14"/>
      <x:c r="E64" s="14"/>
      <x:c r="F64" s="22"/>
      <x:c r="G64" s="22"/>
      <x:c r="H64" s="28"/>
      <x:c r="I64" s="22" t="n">
        <x:f>(F64*12+G64)*H64</x:f>
        <x:v>0</x:v>
      </x:c>
      <x:c r="J64" s="25"/>
      <x:c r="K64" s="14"/>
      <x:c r="L64" s="25"/>
      <x:c r="M64" s="14"/>
      <x:c r="N64" s="14"/>
    </x:row>
    <x:row r="65">
      <x:c r="A65" s="14"/>
      <x:c r="B65" s="14"/>
      <x:c r="C65" s="14"/>
      <x:c r="D65" s="14"/>
      <x:c r="E65" s="14"/>
      <x:c r="F65" s="22"/>
      <x:c r="G65" s="22"/>
      <x:c r="H65" s="28"/>
      <x:c r="I65" s="22" t="n">
        <x:f>(F65*12+G65)*H65</x:f>
        <x:v>0</x:v>
      </x:c>
      <x:c r="J65" s="25"/>
      <x:c r="K65" s="14"/>
      <x:c r="L65" s="25"/>
      <x:c r="M65" s="14"/>
      <x:c r="N65" s="14"/>
    </x:row>
    <x:row r="66">
      <x:c r="A66" s="14"/>
      <x:c r="B66" s="14"/>
      <x:c r="C66" s="14"/>
      <x:c r="D66" s="14"/>
      <x:c r="E66" s="14"/>
      <x:c r="F66" s="22"/>
      <x:c r="G66" s="22"/>
      <x:c r="H66" s="28"/>
      <x:c r="I66" s="22" t="n">
        <x:f>(F66*12+G66)*H66</x:f>
        <x:v>0</x:v>
      </x:c>
      <x:c r="J66" s="25"/>
      <x:c r="K66" s="14"/>
      <x:c r="L66" s="25"/>
      <x:c r="M66" s="14"/>
      <x:c r="N66" s="14"/>
    </x:row>
    <x:row r="67">
      <x:c r="A67" s="14"/>
      <x:c r="B67" s="14"/>
      <x:c r="C67" s="14"/>
      <x:c r="D67" s="14"/>
      <x:c r="E67" s="14"/>
      <x:c r="F67" s="22"/>
      <x:c r="G67" s="22"/>
      <x:c r="H67" s="28"/>
      <x:c r="I67" s="22" t="n">
        <x:f>(F67*12+G67)*H67</x:f>
        <x:v>0</x:v>
      </x:c>
      <x:c r="J67" s="25"/>
      <x:c r="K67" s="14"/>
      <x:c r="L67" s="25"/>
      <x:c r="M67" s="14"/>
      <x:c r="N67" s="14"/>
    </x:row>
    <x:row r="68">
      <x:c r="A68" s="14"/>
      <x:c r="B68" s="14"/>
      <x:c r="C68" s="14"/>
      <x:c r="D68" s="14"/>
      <x:c r="E68" s="14"/>
      <x:c r="F68" s="22"/>
      <x:c r="G68" s="22"/>
      <x:c r="H68" s="28"/>
      <x:c r="I68" s="22" t="n">
        <x:f>(F68*12+G68)*H68</x:f>
        <x:v>0</x:v>
      </x:c>
      <x:c r="J68" s="25"/>
      <x:c r="K68" s="14"/>
      <x:c r="L68" s="25"/>
      <x:c r="M68" s="14"/>
      <x:c r="N68" s="14"/>
    </x:row>
    <x:row r="69">
      <x:c r="A69" s="14"/>
      <x:c r="B69" s="14"/>
      <x:c r="C69" s="14"/>
      <x:c r="D69" s="14"/>
      <x:c r="E69" s="14"/>
      <x:c r="F69" s="22"/>
      <x:c r="G69" s="22"/>
      <x:c r="H69" s="28"/>
      <x:c r="I69" s="22" t="n">
        <x:f>(F69*12+G69)*H69</x:f>
        <x:v>0</x:v>
      </x:c>
      <x:c r="J69" s="25"/>
      <x:c r="K69" s="14"/>
      <x:c r="L69" s="25"/>
      <x:c r="M69" s="14"/>
      <x:c r="N69" s="14"/>
    </x:row>
    <x:row r="70">
      <x:c r="A70" s="14"/>
      <x:c r="B70" s="14"/>
      <x:c r="C70" s="14"/>
      <x:c r="D70" s="14"/>
      <x:c r="E70" s="14"/>
      <x:c r="F70" s="22"/>
      <x:c r="G70" s="22"/>
      <x:c r="H70" s="28"/>
      <x:c r="I70" s="22" t="n">
        <x:f>(F70*12+G70)*H70</x:f>
        <x:v>0</x:v>
      </x:c>
      <x:c r="J70" s="25"/>
      <x:c r="K70" s="14"/>
      <x:c r="L70" s="25"/>
      <x:c r="M70" s="14"/>
      <x:c r="N70" s="14"/>
    </x:row>
    <x:row r="71">
      <x:c r="A71" s="14"/>
      <x:c r="B71" s="14"/>
      <x:c r="C71" s="14"/>
      <x:c r="D71" s="14"/>
      <x:c r="E71" s="14"/>
      <x:c r="F71" s="22"/>
      <x:c r="G71" s="22"/>
      <x:c r="H71" s="28"/>
      <x:c r="I71" s="22" t="n">
        <x:f>(F71*12+G71)*H71</x:f>
        <x:v>0</x:v>
      </x:c>
      <x:c r="J71" s="25"/>
      <x:c r="K71" s="14"/>
      <x:c r="L71" s="25"/>
      <x:c r="M71" s="14"/>
      <x:c r="N71" s="14"/>
    </x:row>
    <x:row r="72">
      <x:c r="A72" s="14"/>
      <x:c r="B72" s="14"/>
      <x:c r="C72" s="14"/>
      <x:c r="D72" s="14"/>
      <x:c r="E72" s="14"/>
      <x:c r="F72" s="22"/>
      <x:c r="G72" s="22"/>
      <x:c r="H72" s="28"/>
      <x:c r="I72" s="22" t="n">
        <x:f>(F72*12+G72)*H72</x:f>
        <x:v>0</x:v>
      </x:c>
      <x:c r="J72" s="25"/>
      <x:c r="K72" s="14"/>
      <x:c r="L72" s="25"/>
      <x:c r="M72" s="14"/>
      <x:c r="N72" s="14"/>
    </x:row>
    <x:row r="73">
      <x:c r="A73" s="14"/>
      <x:c r="B73" s="14"/>
      <x:c r="C73" s="14"/>
      <x:c r="D73" s="14"/>
      <x:c r="E73" s="14"/>
      <x:c r="F73" s="22"/>
      <x:c r="G73" s="22"/>
      <x:c r="H73" s="28"/>
      <x:c r="I73" s="22" t="n">
        <x:f>(F73*12+G73)*H73</x:f>
        <x:v>0</x:v>
      </x:c>
      <x:c r="J73" s="25"/>
      <x:c r="K73" s="14"/>
      <x:c r="L73" s="25"/>
      <x:c r="M73" s="14"/>
      <x:c r="N73" s="14"/>
    </x:row>
    <x:row r="74">
      <x:c r="A74" s="14"/>
      <x:c r="B74" s="14"/>
      <x:c r="C74" s="14"/>
      <x:c r="D74" s="14"/>
      <x:c r="E74" s="14"/>
      <x:c r="F74" s="22"/>
      <x:c r="G74" s="22"/>
      <x:c r="H74" s="28"/>
      <x:c r="I74" s="22" t="n">
        <x:f>(F74*12+G74)*H74</x:f>
        <x:v>0</x:v>
      </x:c>
      <x:c r="J74" s="25"/>
      <x:c r="K74" s="14"/>
      <x:c r="L74" s="25"/>
      <x:c r="M74" s="14"/>
      <x:c r="N74" s="14"/>
    </x:row>
    <x:row r="75">
      <x:c r="A75" s="14"/>
      <x:c r="B75" s="14"/>
      <x:c r="C75" s="14"/>
      <x:c r="D75" s="14"/>
      <x:c r="E75" s="14"/>
      <x:c r="F75" s="22"/>
      <x:c r="G75" s="22"/>
      <x:c r="H75" s="28"/>
      <x:c r="I75" s="22" t="n">
        <x:f>(F75*12+G75)*H75</x:f>
        <x:v>0</x:v>
      </x:c>
      <x:c r="J75" s="25"/>
      <x:c r="K75" s="14"/>
      <x:c r="L75" s="25"/>
      <x:c r="M75" s="14"/>
      <x:c r="N75" s="14"/>
    </x:row>
    <x:row r="76">
      <x:c r="A76" s="14"/>
      <x:c r="B76" s="14"/>
      <x:c r="C76" s="14"/>
      <x:c r="D76" s="14"/>
      <x:c r="E76" s="14"/>
      <x:c r="F76" s="22"/>
      <x:c r="G76" s="22"/>
      <x:c r="H76" s="28"/>
      <x:c r="I76" s="22" t="n">
        <x:f>(F76*12+G76)*H76</x:f>
        <x:v>0</x:v>
      </x:c>
      <x:c r="J76" s="25"/>
      <x:c r="K76" s="14"/>
      <x:c r="L76" s="25"/>
      <x:c r="M76" s="14"/>
      <x:c r="N76" s="14"/>
    </x:row>
    <x:row r="77">
      <x:c r="A77" s="14"/>
      <x:c r="B77" s="14"/>
      <x:c r="C77" s="14"/>
      <x:c r="D77" s="14"/>
      <x:c r="E77" s="14"/>
      <x:c r="F77" s="22"/>
      <x:c r="G77" s="22"/>
      <x:c r="H77" s="28"/>
      <x:c r="I77" s="22" t="n">
        <x:f>(F77*12+G77)*H77</x:f>
        <x:v>0</x:v>
      </x:c>
      <x:c r="J77" s="25"/>
      <x:c r="K77" s="14"/>
      <x:c r="L77" s="25"/>
      <x:c r="M77" s="14"/>
      <x:c r="N77" s="14"/>
    </x:row>
    <x:row r="78">
      <x:c r="A78" s="14"/>
      <x:c r="B78" s="14"/>
      <x:c r="C78" s="14"/>
      <x:c r="D78" s="14"/>
      <x:c r="E78" s="14"/>
      <x:c r="F78" s="22"/>
      <x:c r="G78" s="22"/>
      <x:c r="H78" s="28"/>
      <x:c r="I78" s="22" t="n">
        <x:f>(F78*12+G78)*H78</x:f>
        <x:v>0</x:v>
      </x:c>
      <x:c r="J78" s="25"/>
      <x:c r="K78" s="14"/>
      <x:c r="L78" s="25"/>
      <x:c r="M78" s="14"/>
      <x:c r="N78" s="14"/>
    </x:row>
    <x:row r="79">
      <x:c r="A79" s="14"/>
      <x:c r="B79" s="14"/>
      <x:c r="C79" s="14"/>
      <x:c r="D79" s="14"/>
      <x:c r="E79" s="14"/>
      <x:c r="F79" s="22"/>
      <x:c r="G79" s="22"/>
      <x:c r="H79" s="28"/>
      <x:c r="I79" s="22" t="n">
        <x:f>(F79*12+G79)*H79</x:f>
        <x:v>0</x:v>
      </x:c>
      <x:c r="J79" s="25"/>
      <x:c r="K79" s="14"/>
      <x:c r="L79" s="25"/>
      <x:c r="M79" s="14"/>
      <x:c r="N79" s="14"/>
    </x:row>
    <x:row r="80">
      <x:c r="A80" s="14"/>
      <x:c r="B80" s="14"/>
      <x:c r="C80" s="14"/>
      <x:c r="D80" s="14"/>
      <x:c r="E80" s="14"/>
      <x:c r="F80" s="22"/>
      <x:c r="G80" s="22"/>
      <x:c r="H80" s="28"/>
      <x:c r="I80" s="22" t="n">
        <x:f>(F80*12+G80)*H80</x:f>
        <x:v>0</x:v>
      </x:c>
      <x:c r="J80" s="25"/>
      <x:c r="K80" s="14"/>
      <x:c r="L80" s="25"/>
      <x:c r="M80" s="14"/>
      <x:c r="N80" s="14"/>
    </x:row>
    <x:row r="81">
      <x:c r="A81" s="14"/>
      <x:c r="B81" s="14"/>
      <x:c r="C81" s="14"/>
      <x:c r="D81" s="14"/>
      <x:c r="E81" s="14"/>
      <x:c r="F81" s="22"/>
      <x:c r="G81" s="22"/>
      <x:c r="H81" s="28"/>
      <x:c r="I81" s="22" t="n">
        <x:f>(F81*12+G81)*H81</x:f>
        <x:v>0</x:v>
      </x:c>
      <x:c r="J81" s="25"/>
      <x:c r="K81" s="14"/>
      <x:c r="L81" s="25"/>
      <x:c r="M81" s="14"/>
      <x:c r="N81" s="14"/>
    </x:row>
    <x:row r="82">
      <x:c r="A82" s="14"/>
      <x:c r="B82" s="14"/>
      <x:c r="C82" s="14"/>
      <x:c r="D82" s="14"/>
      <x:c r="E82" s="14"/>
      <x:c r="F82" s="22"/>
      <x:c r="G82" s="22"/>
      <x:c r="H82" s="28"/>
      <x:c r="I82" s="22" t="n">
        <x:f>(F82*12+G82)*H82</x:f>
        <x:v>0</x:v>
      </x:c>
      <x:c r="J82" s="25"/>
      <x:c r="K82" s="14"/>
      <x:c r="L82" s="25"/>
      <x:c r="M82" s="14"/>
      <x:c r="N82" s="14"/>
    </x:row>
    <x:row r="83">
      <x:c r="A83" s="14"/>
      <x:c r="B83" s="14"/>
      <x:c r="C83" s="14"/>
      <x:c r="D83" s="14"/>
      <x:c r="E83" s="14"/>
      <x:c r="F83" s="22"/>
      <x:c r="G83" s="22"/>
      <x:c r="H83" s="28"/>
      <x:c r="I83" s="22" t="n">
        <x:f>(F83*12+G83)*H83</x:f>
        <x:v>0</x:v>
      </x:c>
      <x:c r="J83" s="25"/>
      <x:c r="K83" s="14"/>
      <x:c r="L83" s="25"/>
      <x:c r="M83" s="14"/>
      <x:c r="N83" s="14"/>
    </x:row>
    <x:row r="84">
      <x:c r="A84" s="14"/>
      <x:c r="B84" s="14"/>
      <x:c r="C84" s="14"/>
      <x:c r="D84" s="14"/>
      <x:c r="E84" s="14"/>
      <x:c r="F84" s="22"/>
      <x:c r="G84" s="22"/>
      <x:c r="H84" s="28"/>
      <x:c r="I84" s="22" t="n">
        <x:f>(F84*12+G84)*H84</x:f>
        <x:v>0</x:v>
      </x:c>
      <x:c r="J84" s="25"/>
      <x:c r="K84" s="14"/>
      <x:c r="L84" s="25"/>
      <x:c r="M84" s="14"/>
      <x:c r="N84" s="14"/>
    </x:row>
    <x:row r="85">
      <x:c r="A85" s="14"/>
      <x:c r="B85" s="14"/>
      <x:c r="C85" s="14"/>
      <x:c r="D85" s="14"/>
      <x:c r="E85" s="14"/>
      <x:c r="F85" s="22"/>
      <x:c r="G85" s="22"/>
      <x:c r="H85" s="28"/>
      <x:c r="I85" s="22" t="n">
        <x:f>(F85*12+G85)*H85</x:f>
        <x:v>0</x:v>
      </x:c>
      <x:c r="J85" s="25"/>
      <x:c r="K85" s="14"/>
      <x:c r="L85" s="25"/>
      <x:c r="M85" s="14"/>
      <x:c r="N85" s="14"/>
    </x:row>
    <x:row r="86">
      <x:c r="A86" s="14"/>
      <x:c r="B86" s="14"/>
      <x:c r="C86" s="14"/>
      <x:c r="D86" s="14"/>
      <x:c r="E86" s="14"/>
      <x:c r="F86" s="22"/>
      <x:c r="G86" s="22"/>
      <x:c r="H86" s="28"/>
      <x:c r="I86" s="22" t="n">
        <x:f>(F86*12+G86)*H86</x:f>
        <x:v>0</x:v>
      </x:c>
      <x:c r="J86" s="25"/>
      <x:c r="K86" s="14"/>
      <x:c r="L86" s="25"/>
      <x:c r="M86" s="14"/>
      <x:c r="N86" s="14"/>
    </x:row>
    <x:row r="87">
      <x:c r="A87" s="14"/>
      <x:c r="B87" s="14"/>
      <x:c r="C87" s="14"/>
      <x:c r="D87" s="14"/>
      <x:c r="E87" s="14"/>
      <x:c r="F87" s="22"/>
      <x:c r="G87" s="22"/>
      <x:c r="H87" s="28"/>
      <x:c r="I87" s="22" t="n">
        <x:f>(F87*12+G87)*H87</x:f>
        <x:v>0</x:v>
      </x:c>
      <x:c r="J87" s="25"/>
      <x:c r="K87" s="14"/>
      <x:c r="L87" s="25"/>
      <x:c r="M87" s="14"/>
      <x:c r="N87" s="14"/>
    </x:row>
    <x:row r="88">
      <x:c r="A88" s="14"/>
      <x:c r="B88" s="14"/>
      <x:c r="C88" s="14"/>
      <x:c r="D88" s="14"/>
      <x:c r="E88" s="14"/>
      <x:c r="F88" s="22"/>
      <x:c r="G88" s="22"/>
      <x:c r="H88" s="28"/>
      <x:c r="I88" s="22" t="n">
        <x:f>(F88*12+G88)*H88</x:f>
        <x:v>0</x:v>
      </x:c>
      <x:c r="J88" s="25"/>
      <x:c r="K88" s="14"/>
      <x:c r="L88" s="25"/>
      <x:c r="M88" s="14"/>
      <x:c r="N88" s="14"/>
    </x:row>
    <x:row r="89">
      <x:c r="A89" s="14"/>
      <x:c r="B89" s="14"/>
      <x:c r="C89" s="14"/>
      <x:c r="D89" s="14"/>
      <x:c r="E89" s="14"/>
      <x:c r="F89" s="22"/>
      <x:c r="G89" s="22"/>
      <x:c r="H89" s="28"/>
      <x:c r="I89" s="22" t="n">
        <x:f>(F89*12+G89)*H89</x:f>
        <x:v>0</x:v>
      </x:c>
      <x:c r="J89" s="25"/>
      <x:c r="K89" s="14"/>
      <x:c r="L89" s="25"/>
      <x:c r="M89" s="14"/>
      <x:c r="N89" s="14"/>
    </x:row>
    <x:row r="90">
      <x:c r="A90" s="14"/>
      <x:c r="B90" s="14"/>
      <x:c r="C90" s="14"/>
      <x:c r="D90" s="14"/>
      <x:c r="E90" s="14"/>
      <x:c r="F90" s="22"/>
      <x:c r="G90" s="22"/>
      <x:c r="H90" s="28"/>
      <x:c r="I90" s="22" t="n">
        <x:f>(F90*12+G90)*H90</x:f>
        <x:v>0</x:v>
      </x:c>
      <x:c r="J90" s="25"/>
      <x:c r="K90" s="14"/>
      <x:c r="L90" s="25"/>
      <x:c r="M90" s="14"/>
      <x:c r="N90" s="14"/>
    </x:row>
    <x:row r="91">
      <x:c r="A91" s="14"/>
      <x:c r="B91" s="14"/>
      <x:c r="C91" s="14"/>
      <x:c r="D91" s="14"/>
      <x:c r="E91" s="14"/>
      <x:c r="F91" s="22"/>
      <x:c r="G91" s="22"/>
      <x:c r="H91" s="28"/>
      <x:c r="I91" s="22" t="n">
        <x:f>(F91*12+G91)*H91</x:f>
        <x:v>0</x:v>
      </x:c>
      <x:c r="J91" s="25"/>
      <x:c r="K91" s="14"/>
      <x:c r="L91" s="25"/>
      <x:c r="M91" s="14"/>
      <x:c r="N91" s="14"/>
    </x:row>
    <x:row r="92">
      <x:c r="A92" s="14"/>
      <x:c r="B92" s="14"/>
      <x:c r="C92" s="14"/>
      <x:c r="D92" s="14"/>
      <x:c r="E92" s="14"/>
      <x:c r="F92" s="22"/>
      <x:c r="G92" s="22"/>
      <x:c r="H92" s="28"/>
      <x:c r="I92" s="22" t="n">
        <x:f>(F92*12+G92)*H92</x:f>
        <x:v>0</x:v>
      </x:c>
      <x:c r="J92" s="25"/>
      <x:c r="K92" s="14"/>
      <x:c r="L92" s="25"/>
      <x:c r="M92" s="14"/>
      <x:c r="N92" s="14"/>
    </x:row>
    <x:row r="93">
      <x:c r="A93" s="14"/>
      <x:c r="B93" s="14"/>
      <x:c r="C93" s="14"/>
      <x:c r="D93" s="14"/>
      <x:c r="E93" s="14"/>
      <x:c r="F93" s="22"/>
      <x:c r="G93" s="22"/>
      <x:c r="H93" s="28"/>
      <x:c r="I93" s="22" t="n">
        <x:f>(F93*12+G93)*H93</x:f>
        <x:v>0</x:v>
      </x:c>
      <x:c r="J93" s="25"/>
      <x:c r="K93" s="14"/>
      <x:c r="L93" s="25"/>
      <x:c r="M93" s="14"/>
      <x:c r="N93" s="14"/>
    </x:row>
    <x:row r="94">
      <x:c r="A94" s="14"/>
      <x:c r="B94" s="14"/>
      <x:c r="C94" s="14"/>
      <x:c r="D94" s="14"/>
      <x:c r="E94" s="14"/>
      <x:c r="F94" s="22"/>
      <x:c r="G94" s="22"/>
      <x:c r="H94" s="28"/>
      <x:c r="I94" s="22" t="n">
        <x:f>(F94*12+G94)*H94</x:f>
        <x:v>0</x:v>
      </x:c>
      <x:c r="J94" s="25"/>
      <x:c r="K94" s="14"/>
      <x:c r="L94" s="25"/>
      <x:c r="M94" s="14"/>
      <x:c r="N94" s="14"/>
    </x:row>
    <x:row r="95">
      <x:c r="A95" s="14"/>
      <x:c r="B95" s="14"/>
      <x:c r="C95" s="14"/>
      <x:c r="D95" s="14"/>
      <x:c r="E95" s="14"/>
      <x:c r="F95" s="22"/>
      <x:c r="G95" s="22"/>
      <x:c r="H95" s="28"/>
      <x:c r="I95" s="22" t="n">
        <x:f>(F95*12+G95)*H95</x:f>
        <x:v>0</x:v>
      </x:c>
      <x:c r="J95" s="25"/>
      <x:c r="K95" s="14"/>
      <x:c r="L95" s="25"/>
      <x:c r="M95" s="14"/>
      <x:c r="N95" s="14"/>
    </x:row>
    <x:row r="96">
      <x:c r="A96" s="14"/>
      <x:c r="B96" s="14"/>
      <x:c r="C96" s="14"/>
      <x:c r="D96" s="14"/>
      <x:c r="E96" s="14"/>
      <x:c r="F96" s="22"/>
      <x:c r="G96" s="22"/>
      <x:c r="H96" s="28"/>
      <x:c r="I96" s="22" t="n">
        <x:f>(F96*12+G96)*H96</x:f>
        <x:v>0</x:v>
      </x:c>
      <x:c r="J96" s="25"/>
      <x:c r="K96" s="14"/>
      <x:c r="L96" s="25"/>
      <x:c r="M96" s="14"/>
      <x:c r="N96" s="14"/>
    </x:row>
    <x:row r="97">
      <x:c r="A97" s="14"/>
      <x:c r="B97" s="14"/>
      <x:c r="C97" s="14"/>
      <x:c r="D97" s="14"/>
      <x:c r="E97" s="14"/>
      <x:c r="F97" s="22"/>
      <x:c r="G97" s="22"/>
      <x:c r="H97" s="28"/>
      <x:c r="I97" s="22" t="n">
        <x:f>(F97*12+G97)*H97</x:f>
        <x:v>0</x:v>
      </x:c>
      <x:c r="J97" s="25"/>
      <x:c r="K97" s="14"/>
      <x:c r="L97" s="25"/>
      <x:c r="M97" s="14"/>
      <x:c r="N97" s="14"/>
    </x:row>
    <x:row r="98">
      <x:c r="A98" s="14"/>
      <x:c r="B98" s="14"/>
      <x:c r="C98" s="14"/>
      <x:c r="D98" s="14"/>
      <x:c r="E98" s="14"/>
      <x:c r="F98" s="22"/>
      <x:c r="G98" s="22"/>
      <x:c r="H98" s="28"/>
      <x:c r="I98" s="22" t="n">
        <x:f>(F98*12+G98)*H98</x:f>
        <x:v>0</x:v>
      </x:c>
      <x:c r="J98" s="25"/>
      <x:c r="K98" s="14"/>
      <x:c r="L98" s="25"/>
      <x:c r="M98" s="14"/>
      <x:c r="N98" s="14"/>
    </x:row>
    <x:row r="99">
      <x:c r="A99" s="14"/>
      <x:c r="B99" s="14"/>
      <x:c r="C99" s="14"/>
      <x:c r="D99" s="14"/>
      <x:c r="E99" s="14"/>
      <x:c r="F99" s="22"/>
      <x:c r="G99" s="22"/>
      <x:c r="H99" s="28"/>
      <x:c r="I99" s="22" t="n">
        <x:f>(F99*12+G99)*H99</x:f>
        <x:v>0</x:v>
      </x:c>
      <x:c r="J99" s="25"/>
      <x:c r="K99" s="14"/>
      <x:c r="L99" s="25"/>
      <x:c r="M99" s="14"/>
      <x:c r="N99" s="14"/>
    </x:row>
    <x:row r="100">
      <x:c r="A100" s="14"/>
      <x:c r="B100" s="14"/>
      <x:c r="C100" s="14"/>
      <x:c r="D100" s="14"/>
      <x:c r="E100" s="14"/>
      <x:c r="F100" s="22"/>
      <x:c r="G100" s="22"/>
      <x:c r="H100" s="28"/>
      <x:c r="I100" s="22" t="n">
        <x:f>(F100*12+G100)*H100</x:f>
        <x:v>0</x:v>
      </x:c>
      <x:c r="J100" s="25"/>
      <x:c r="K100" s="14"/>
      <x:c r="L100" s="25"/>
      <x:c r="M100" s="14"/>
      <x:c r="N100" s="14"/>
    </x:row>
    <x:row r="101">
      <x:c r="A101" s="14"/>
      <x:c r="B101" s="14"/>
      <x:c r="C101" s="14"/>
      <x:c r="D101" s="14"/>
      <x:c r="E101" s="14"/>
      <x:c r="F101" s="22"/>
      <x:c r="G101" s="22"/>
      <x:c r="H101" s="28"/>
      <x:c r="I101" s="22" t="n">
        <x:f>(F101*12+G101)*H101</x:f>
        <x:v>0</x:v>
      </x:c>
      <x:c r="J101" s="25"/>
      <x:c r="K101" s="14"/>
      <x:c r="L101" s="25"/>
      <x:c r="M101" s="14"/>
      <x:c r="N101" s="14"/>
    </x:row>
    <x:row r="102">
      <x:c r="A102" s="14"/>
      <x:c r="B102" s="14"/>
      <x:c r="C102" s="14"/>
      <x:c r="D102" s="14"/>
      <x:c r="E102" s="14"/>
      <x:c r="F102" s="22"/>
      <x:c r="G102" s="22"/>
      <x:c r="H102" s="28"/>
      <x:c r="I102" s="22" t="n">
        <x:f>(F102*12+G102)*H102</x:f>
        <x:v>0</x:v>
      </x:c>
      <x:c r="J102" s="25"/>
      <x:c r="K102" s="14"/>
      <x:c r="L102" s="25"/>
      <x:c r="M102" s="14"/>
      <x:c r="N102" s="14"/>
    </x:row>
    <x:row r="103">
      <x:c r="A103" s="14"/>
      <x:c r="B103" s="14"/>
      <x:c r="C103" s="14"/>
      <x:c r="D103" s="14"/>
      <x:c r="E103" s="14"/>
      <x:c r="F103" s="22"/>
      <x:c r="G103" s="22"/>
      <x:c r="H103" s="28"/>
      <x:c r="I103" s="22" t="n">
        <x:f>(F103*12+G103)*H103</x:f>
        <x:v>0</x:v>
      </x:c>
      <x:c r="J103" s="25"/>
      <x:c r="K103" s="14"/>
      <x:c r="L103" s="25"/>
      <x:c r="M103" s="14"/>
      <x:c r="N103" s="14"/>
    </x:row>
    <x:row r="104">
      <x:c r="A104" s="14"/>
      <x:c r="B104" s="14"/>
      <x:c r="C104" s="14"/>
      <x:c r="D104" s="14"/>
      <x:c r="E104" s="14"/>
      <x:c r="F104" s="22"/>
      <x:c r="G104" s="22"/>
      <x:c r="H104" s="28"/>
      <x:c r="I104" s="22" t="n">
        <x:f>(F104*12+G104)*H104</x:f>
        <x:v>0</x:v>
      </x:c>
      <x:c r="J104" s="25"/>
      <x:c r="K104" s="14"/>
      <x:c r="L104" s="25"/>
      <x:c r="M104" s="14"/>
      <x:c r="N104" s="14"/>
    </x:row>
    <x:row r="105">
      <x:c r="A105" s="14"/>
      <x:c r="B105" s="14"/>
      <x:c r="C105" s="14"/>
      <x:c r="D105" s="14"/>
      <x:c r="E105" s="14"/>
      <x:c r="F105" s="22"/>
      <x:c r="G105" s="22"/>
      <x:c r="H105" s="28"/>
      <x:c r="I105" s="22" t="n">
        <x:f>(F105*12+G105)*H105</x:f>
        <x:v>0</x:v>
      </x:c>
      <x:c r="J105" s="25"/>
      <x:c r="K105" s="14"/>
      <x:c r="L105" s="25"/>
      <x:c r="M105" s="14"/>
      <x:c r="N105" s="14"/>
    </x:row>
    <x:row r="106">
      <x:c r="A106" s="14"/>
      <x:c r="B106" s="14"/>
      <x:c r="C106" s="14"/>
      <x:c r="D106" s="14"/>
      <x:c r="E106" s="14"/>
      <x:c r="F106" s="22"/>
      <x:c r="G106" s="22"/>
      <x:c r="H106" s="28"/>
      <x:c r="I106" s="22" t="n">
        <x:f>(F106*12+G106)*H106</x:f>
        <x:v>0</x:v>
      </x:c>
      <x:c r="J106" s="25"/>
      <x:c r="K106" s="14"/>
      <x:c r="L106" s="25"/>
      <x:c r="M106" s="14"/>
      <x:c r="N106" s="14"/>
    </x:row>
    <x:row r="107">
      <x:c r="A107" s="14"/>
      <x:c r="B107" s="14"/>
      <x:c r="C107" s="14"/>
      <x:c r="D107" s="14"/>
      <x:c r="E107" s="14"/>
      <x:c r="F107" s="22"/>
      <x:c r="G107" s="22"/>
      <x:c r="H107" s="28"/>
      <x:c r="I107" s="22" t="n">
        <x:f>(F107*12+G107)*H107</x:f>
        <x:v>0</x:v>
      </x:c>
      <x:c r="J107" s="25"/>
      <x:c r="K107" s="14"/>
      <x:c r="L107" s="25"/>
      <x:c r="M107" s="14"/>
      <x:c r="N107" s="14"/>
    </x:row>
    <x:row r="108">
      <x:c r="A108" s="14"/>
      <x:c r="B108" s="14"/>
      <x:c r="C108" s="14"/>
      <x:c r="D108" s="14"/>
      <x:c r="E108" s="14"/>
      <x:c r="F108" s="22"/>
      <x:c r="G108" s="22"/>
      <x:c r="H108" s="28"/>
      <x:c r="I108" s="22" t="n">
        <x:f>(F108*12+G108)*H108</x:f>
        <x:v>0</x:v>
      </x:c>
      <x:c r="J108" s="25"/>
      <x:c r="K108" s="14"/>
      <x:c r="L108" s="25"/>
      <x:c r="M108" s="14"/>
      <x:c r="N108" s="14"/>
    </x:row>
    <x:row r="109">
      <x:c r="A109" s="14"/>
      <x:c r="B109" s="14"/>
      <x:c r="C109" s="14"/>
      <x:c r="D109" s="14"/>
      <x:c r="E109" s="14"/>
      <x:c r="F109" s="22"/>
      <x:c r="G109" s="22"/>
      <x:c r="H109" s="28"/>
      <x:c r="I109" s="22" t="n">
        <x:f>(F109*12+G109)*H109</x:f>
        <x:v>0</x:v>
      </x:c>
      <x:c r="J109" s="25"/>
      <x:c r="K109" s="14"/>
      <x:c r="L109" s="25"/>
      <x:c r="M109" s="14"/>
      <x:c r="N109" s="14"/>
    </x:row>
    <x:row r="110">
      <x:c r="A110" s="14"/>
      <x:c r="B110" s="14"/>
      <x:c r="C110" s="14"/>
      <x:c r="D110" s="14"/>
      <x:c r="E110" s="14"/>
      <x:c r="F110" s="22"/>
      <x:c r="G110" s="22"/>
      <x:c r="H110" s="28"/>
      <x:c r="I110" s="22" t="n">
        <x:f>(F110*12+G110)*H110</x:f>
        <x:v>0</x:v>
      </x:c>
      <x:c r="J110" s="25"/>
      <x:c r="K110" s="14"/>
      <x:c r="L110" s="25"/>
      <x:c r="M110" s="14"/>
      <x:c r="N110" s="14"/>
    </x:row>
    <x:row r="111">
      <x:c r="A111" s="14"/>
      <x:c r="B111" s="14"/>
      <x:c r="C111" s="14"/>
      <x:c r="D111" s="14"/>
      <x:c r="E111" s="14"/>
      <x:c r="F111" s="22"/>
      <x:c r="G111" s="22"/>
      <x:c r="H111" s="28"/>
      <x:c r="I111" s="22" t="n">
        <x:f>(F111*12+G111)*H111</x:f>
        <x:v>0</x:v>
      </x:c>
      <x:c r="J111" s="25"/>
      <x:c r="K111" s="14"/>
      <x:c r="L111" s="25"/>
      <x:c r="M111" s="14"/>
      <x:c r="N111" s="14"/>
    </x:row>
    <x:row r="112">
      <x:c r="A112" s="14"/>
      <x:c r="B112" s="14"/>
      <x:c r="C112" s="14"/>
      <x:c r="D112" s="14"/>
      <x:c r="E112" s="14"/>
      <x:c r="F112" s="22"/>
      <x:c r="G112" s="22"/>
      <x:c r="H112" s="28"/>
      <x:c r="I112" s="22" t="n">
        <x:f>(F112*12+G112)*H112</x:f>
        <x:v>0</x:v>
      </x:c>
      <x:c r="J112" s="25"/>
      <x:c r="K112" s="14"/>
      <x:c r="L112" s="25"/>
      <x:c r="M112" s="14"/>
      <x:c r="N112" s="14"/>
    </x:row>
    <x:row r="113">
      <x:c r="A113" s="14"/>
      <x:c r="B113" s="14"/>
      <x:c r="C113" s="14"/>
      <x:c r="D113" s="14"/>
      <x:c r="E113" s="14"/>
      <x:c r="F113" s="22"/>
      <x:c r="G113" s="22"/>
      <x:c r="H113" s="28"/>
      <x:c r="I113" s="22" t="n">
        <x:f>(F113*12+G113)*H113</x:f>
        <x:v>0</x:v>
      </x:c>
      <x:c r="J113" s="25"/>
      <x:c r="K113" s="14"/>
      <x:c r="L113" s="25"/>
      <x:c r="M113" s="14"/>
      <x:c r="N113" s="14"/>
    </x:row>
    <x:row r="114">
      <x:c r="A114" s="14"/>
      <x:c r="B114" s="14"/>
      <x:c r="C114" s="14"/>
      <x:c r="D114" s="14"/>
      <x:c r="E114" s="14"/>
      <x:c r="F114" s="22"/>
      <x:c r="G114" s="22"/>
      <x:c r="H114" s="28"/>
      <x:c r="I114" s="22" t="n">
        <x:f>(F114*12+G114)*H114</x:f>
        <x:v>0</x:v>
      </x:c>
      <x:c r="J114" s="25"/>
      <x:c r="K114" s="14"/>
      <x:c r="L114" s="25"/>
      <x:c r="M114" s="14"/>
      <x:c r="N114" s="14"/>
    </x:row>
    <x:row r="115">
      <x:c r="A115" s="14"/>
      <x:c r="B115" s="14"/>
      <x:c r="C115" s="14"/>
      <x:c r="D115" s="14"/>
      <x:c r="E115" s="14"/>
      <x:c r="F115" s="22"/>
      <x:c r="G115" s="22"/>
      <x:c r="H115" s="28"/>
      <x:c r="I115" s="22" t="n">
        <x:f>(F115*12+G115)*H115</x:f>
        <x:v>0</x:v>
      </x:c>
      <x:c r="J115" s="25"/>
      <x:c r="K115" s="14"/>
      <x:c r="L115" s="25"/>
      <x:c r="M115" s="14"/>
      <x:c r="N115" s="14"/>
    </x:row>
    <x:row r="116">
      <x:c r="A116" s="14"/>
      <x:c r="B116" s="14"/>
      <x:c r="C116" s="14"/>
      <x:c r="D116" s="14"/>
      <x:c r="E116" s="14"/>
      <x:c r="F116" s="22"/>
      <x:c r="G116" s="22"/>
      <x:c r="H116" s="28"/>
      <x:c r="I116" s="22" t="n">
        <x:f>(F116*12+G116)*H116</x:f>
        <x:v>0</x:v>
      </x:c>
      <x:c r="J116" s="25"/>
      <x:c r="K116" s="14"/>
      <x:c r="L116" s="25"/>
      <x:c r="M116" s="14"/>
      <x:c r="N116" s="14"/>
    </x:row>
    <x:row r="117">
      <x:c r="A117" s="14"/>
      <x:c r="B117" s="14"/>
      <x:c r="C117" s="14"/>
      <x:c r="D117" s="14"/>
      <x:c r="E117" s="14"/>
      <x:c r="F117" s="22"/>
      <x:c r="G117" s="22"/>
      <x:c r="H117" s="28"/>
      <x:c r="I117" s="22" t="n">
        <x:f>(F117*12+G117)*H117</x:f>
        <x:v>0</x:v>
      </x:c>
      <x:c r="J117" s="25"/>
      <x:c r="K117" s="14"/>
      <x:c r="L117" s="25"/>
      <x:c r="M117" s="14"/>
      <x:c r="N117" s="14"/>
    </x:row>
    <x:row r="118">
      <x:c r="A118" s="14"/>
      <x:c r="B118" s="14"/>
      <x:c r="C118" s="14"/>
      <x:c r="D118" s="14"/>
      <x:c r="E118" s="14"/>
      <x:c r="F118" s="22"/>
      <x:c r="G118" s="22"/>
      <x:c r="H118" s="28"/>
      <x:c r="I118" s="22" t="n">
        <x:f>(F118*12+G118)*H118</x:f>
        <x:v>0</x:v>
      </x:c>
      <x:c r="J118" s="25"/>
      <x:c r="K118" s="14"/>
      <x:c r="L118" s="25"/>
      <x:c r="M118" s="14"/>
      <x:c r="N118" s="14"/>
    </x:row>
    <x:row r="119">
      <x:c r="A119" s="14"/>
      <x:c r="B119" s="14"/>
      <x:c r="C119" s="14"/>
      <x:c r="D119" s="14"/>
      <x:c r="E119" s="14"/>
      <x:c r="F119" s="22"/>
      <x:c r="G119" s="22"/>
      <x:c r="H119" s="28"/>
      <x:c r="I119" s="22" t="n">
        <x:f>(F119*12+G119)*H119</x:f>
        <x:v>0</x:v>
      </x:c>
      <x:c r="J119" s="25"/>
      <x:c r="K119" s="14"/>
      <x:c r="L119" s="25"/>
      <x:c r="M119" s="14"/>
      <x:c r="N119" s="14"/>
    </x:row>
    <x:row r="120">
      <x:c r="A120" s="14"/>
      <x:c r="B120" s="14"/>
      <x:c r="C120" s="14"/>
      <x:c r="D120" s="14"/>
      <x:c r="E120" s="14"/>
      <x:c r="F120" s="22"/>
      <x:c r="G120" s="22"/>
      <x:c r="H120" s="28"/>
      <x:c r="I120" s="22" t="n">
        <x:f>(F120*12+G120)*H120</x:f>
        <x:v>0</x:v>
      </x:c>
      <x:c r="J120" s="25"/>
      <x:c r="K120" s="14"/>
      <x:c r="L120" s="25"/>
      <x:c r="M120" s="14"/>
      <x:c r="N120" s="14"/>
    </x:row>
    <x:row r="121">
      <x:c r="A121" s="14"/>
      <x:c r="B121" s="14"/>
      <x:c r="C121" s="14"/>
      <x:c r="D121" s="14"/>
      <x:c r="E121" s="14"/>
      <x:c r="F121" s="22"/>
      <x:c r="G121" s="22"/>
      <x:c r="H121" s="28"/>
      <x:c r="I121" s="22" t="n">
        <x:f>(F121*12+G121)*H121</x:f>
        <x:v>0</x:v>
      </x:c>
      <x:c r="J121" s="25"/>
      <x:c r="K121" s="14"/>
      <x:c r="L121" s="25"/>
      <x:c r="M121" s="14"/>
      <x:c r="N121" s="14"/>
    </x:row>
    <x:row r="122">
      <x:c r="A122" s="14"/>
      <x:c r="B122" s="14"/>
      <x:c r="C122" s="14"/>
      <x:c r="D122" s="14"/>
      <x:c r="E122" s="14"/>
      <x:c r="F122" s="22"/>
      <x:c r="G122" s="22"/>
      <x:c r="H122" s="28"/>
      <x:c r="I122" s="22" t="n">
        <x:f>(F122*12+G122)*H122</x:f>
        <x:v>0</x:v>
      </x:c>
      <x:c r="J122" s="25"/>
      <x:c r="K122" s="14"/>
      <x:c r="L122" s="25"/>
      <x:c r="M122" s="14"/>
      <x:c r="N122" s="14"/>
    </x:row>
    <x:row r="123">
      <x:c r="A123" s="14"/>
      <x:c r="B123" s="14"/>
      <x:c r="C123" s="14"/>
      <x:c r="D123" s="14"/>
      <x:c r="E123" s="14"/>
      <x:c r="F123" s="22"/>
      <x:c r="G123" s="22"/>
      <x:c r="H123" s="28"/>
      <x:c r="I123" s="22" t="n">
        <x:f>(F123*12+G123)*H123</x:f>
        <x:v>0</x:v>
      </x:c>
      <x:c r="J123" s="25"/>
      <x:c r="K123" s="14"/>
      <x:c r="L123" s="25"/>
      <x:c r="M123" s="14"/>
      <x:c r="N123" s="14"/>
    </x:row>
    <x:row r="124">
      <x:c r="A124" s="14"/>
      <x:c r="B124" s="14"/>
      <x:c r="C124" s="14"/>
      <x:c r="D124" s="14"/>
      <x:c r="E124" s="14"/>
      <x:c r="F124" s="22"/>
      <x:c r="G124" s="22"/>
      <x:c r="H124" s="28"/>
      <x:c r="I124" s="22" t="n">
        <x:f>(F124*12+G124)*H124</x:f>
        <x:v>0</x:v>
      </x:c>
      <x:c r="J124" s="25"/>
      <x:c r="K124" s="14"/>
      <x:c r="L124" s="25"/>
      <x:c r="M124" s="14"/>
      <x:c r="N124" s="14"/>
    </x:row>
    <x:row r="125">
      <x:c r="A125" s="14"/>
      <x:c r="B125" s="14"/>
      <x:c r="C125" s="14"/>
      <x:c r="D125" s="14"/>
      <x:c r="E125" s="14"/>
      <x:c r="F125" s="22"/>
      <x:c r="G125" s="22"/>
      <x:c r="H125" s="28"/>
      <x:c r="I125" s="22" t="n">
        <x:f>(F125*12+G125)*H125</x:f>
        <x:v>0</x:v>
      </x:c>
      <x:c r="J125" s="25"/>
      <x:c r="K125" s="14"/>
      <x:c r="L125" s="25"/>
      <x:c r="M125" s="14"/>
      <x:c r="N125" s="14"/>
    </x:row>
    <x:row r="126">
      <x:c r="A126" s="14"/>
      <x:c r="B126" s="14"/>
      <x:c r="C126" s="14"/>
      <x:c r="D126" s="14"/>
      <x:c r="E126" s="14"/>
      <x:c r="F126" s="22"/>
      <x:c r="G126" s="22"/>
      <x:c r="H126" s="28"/>
      <x:c r="I126" s="22" t="n">
        <x:f>(F126*12+G126)*H126</x:f>
        <x:v>0</x:v>
      </x:c>
      <x:c r="J126" s="25"/>
      <x:c r="K126" s="14"/>
      <x:c r="L126" s="25"/>
      <x:c r="M126" s="14"/>
      <x:c r="N126" s="14"/>
    </x:row>
    <x:row r="127">
      <x:c r="A127" s="14"/>
      <x:c r="B127" s="14"/>
      <x:c r="C127" s="14"/>
      <x:c r="D127" s="14"/>
      <x:c r="E127" s="14"/>
      <x:c r="F127" s="22"/>
      <x:c r="G127" s="22"/>
      <x:c r="H127" s="28"/>
      <x:c r="I127" s="22" t="n">
        <x:f>(F127*12+G127)*H127</x:f>
        <x:v>0</x:v>
      </x:c>
      <x:c r="J127" s="25"/>
      <x:c r="K127" s="14"/>
      <x:c r="L127" s="25"/>
      <x:c r="M127" s="14"/>
      <x:c r="N127" s="14"/>
    </x:row>
    <x:row r="128">
      <x:c r="A128" s="14"/>
      <x:c r="B128" s="14"/>
      <x:c r="C128" s="14"/>
      <x:c r="D128" s="14"/>
      <x:c r="E128" s="14"/>
      <x:c r="F128" s="22"/>
      <x:c r="G128" s="22"/>
      <x:c r="H128" s="28"/>
      <x:c r="I128" s="22" t="n">
        <x:f>(F128*12+G128)*H128</x:f>
        <x:v>0</x:v>
      </x:c>
      <x:c r="J128" s="25"/>
      <x:c r="K128" s="14"/>
      <x:c r="L128" s="25"/>
      <x:c r="M128" s="14"/>
      <x:c r="N128" s="14"/>
    </x:row>
    <x:row r="129">
      <x:c r="A129" s="14"/>
      <x:c r="B129" s="14"/>
      <x:c r="C129" s="14"/>
      <x:c r="D129" s="14"/>
      <x:c r="E129" s="14"/>
      <x:c r="F129" s="22"/>
      <x:c r="G129" s="22"/>
      <x:c r="H129" s="28"/>
      <x:c r="I129" s="22" t="n">
        <x:f>(F129*12+G129)*H129</x:f>
        <x:v>0</x:v>
      </x:c>
      <x:c r="J129" s="25"/>
      <x:c r="K129" s="14"/>
      <x:c r="L129" s="25"/>
      <x:c r="M129" s="14"/>
      <x:c r="N129" s="14"/>
    </x:row>
    <x:row r="130">
      <x:c r="A130" s="14"/>
      <x:c r="B130" s="14"/>
      <x:c r="C130" s="14"/>
      <x:c r="D130" s="14"/>
      <x:c r="E130" s="14"/>
      <x:c r="F130" s="22"/>
      <x:c r="G130" s="22"/>
      <x:c r="H130" s="28"/>
      <x:c r="I130" s="22" t="n">
        <x:f>(F130*12+G130)*H130</x:f>
        <x:v>0</x:v>
      </x:c>
      <x:c r="J130" s="25"/>
      <x:c r="K130" s="14"/>
      <x:c r="L130" s="25"/>
      <x:c r="M130" s="14"/>
      <x:c r="N130" s="14"/>
    </x:row>
    <x:row r="131">
      <x:c r="A131" s="14"/>
      <x:c r="B131" s="14"/>
      <x:c r="C131" s="14"/>
      <x:c r="D131" s="14"/>
      <x:c r="E131" s="14"/>
      <x:c r="F131" s="22"/>
      <x:c r="G131" s="22"/>
      <x:c r="H131" s="28"/>
      <x:c r="I131" s="22" t="n">
        <x:f>(F131*12+G131)*H131</x:f>
        <x:v>0</x:v>
      </x:c>
      <x:c r="J131" s="25"/>
      <x:c r="K131" s="14"/>
      <x:c r="L131" s="25"/>
      <x:c r="M131" s="14"/>
      <x:c r="N131" s="14"/>
    </x:row>
    <x:row r="132">
      <x:c r="A132" s="14"/>
      <x:c r="B132" s="14"/>
      <x:c r="C132" s="14"/>
      <x:c r="D132" s="14"/>
      <x:c r="E132" s="14"/>
      <x:c r="F132" s="22"/>
      <x:c r="G132" s="22"/>
      <x:c r="H132" s="28"/>
      <x:c r="I132" s="22" t="n">
        <x:f>(F132*12+G132)*H132</x:f>
        <x:v>0</x:v>
      </x:c>
      <x:c r="J132" s="25"/>
      <x:c r="K132" s="14"/>
      <x:c r="L132" s="25"/>
      <x:c r="M132" s="14"/>
      <x:c r="N132" s="14"/>
    </x:row>
    <x:row r="133">
      <x:c r="A133" s="14"/>
      <x:c r="B133" s="14"/>
      <x:c r="C133" s="14"/>
      <x:c r="D133" s="14"/>
      <x:c r="E133" s="14"/>
      <x:c r="F133" s="22"/>
      <x:c r="G133" s="22"/>
      <x:c r="H133" s="28"/>
      <x:c r="I133" s="22" t="n">
        <x:f>(F133*12+G133)*H133</x:f>
        <x:v>0</x:v>
      </x:c>
      <x:c r="J133" s="25"/>
      <x:c r="K133" s="14"/>
      <x:c r="L133" s="25"/>
      <x:c r="M133" s="14"/>
      <x:c r="N133" s="14"/>
    </x:row>
    <x:row r="134">
      <x:c r="A134" s="14"/>
      <x:c r="B134" s="14"/>
      <x:c r="C134" s="14"/>
      <x:c r="D134" s="14"/>
      <x:c r="E134" s="14"/>
      <x:c r="F134" s="22"/>
      <x:c r="G134" s="22"/>
      <x:c r="H134" s="28"/>
      <x:c r="I134" s="22" t="n">
        <x:f>(F134*12+G134)*H134</x:f>
        <x:v>0</x:v>
      </x:c>
      <x:c r="J134" s="25"/>
      <x:c r="K134" s="14"/>
      <x:c r="L134" s="25"/>
      <x:c r="M134" s="14"/>
      <x:c r="N134" s="14"/>
    </x:row>
    <x:row r="135">
      <x:c r="A135" s="14"/>
      <x:c r="B135" s="14"/>
      <x:c r="C135" s="14"/>
      <x:c r="D135" s="14"/>
      <x:c r="E135" s="14"/>
      <x:c r="F135" s="22"/>
      <x:c r="G135" s="22"/>
      <x:c r="H135" s="28"/>
      <x:c r="I135" s="22" t="n">
        <x:f>(F135*12+G135)*H135</x:f>
        <x:v>0</x:v>
      </x:c>
      <x:c r="J135" s="25"/>
      <x:c r="K135" s="14"/>
      <x:c r="L135" s="25"/>
      <x:c r="M135" s="14"/>
      <x:c r="N135" s="14"/>
    </x:row>
    <x:row r="136">
      <x:c r="A136" s="14"/>
      <x:c r="B136" s="14"/>
      <x:c r="C136" s="14"/>
      <x:c r="D136" s="14"/>
      <x:c r="E136" s="14"/>
      <x:c r="F136" s="22"/>
      <x:c r="G136" s="22"/>
      <x:c r="H136" s="28"/>
      <x:c r="I136" s="22" t="n">
        <x:f>(F136*12+G136)*H136</x:f>
        <x:v>0</x:v>
      </x:c>
      <x:c r="J136" s="25"/>
      <x:c r="K136" s="14"/>
      <x:c r="L136" s="25"/>
      <x:c r="M136" s="14"/>
      <x:c r="N136" s="14"/>
    </x:row>
    <x:row r="137">
      <x:c r="A137" s="14"/>
      <x:c r="B137" s="14"/>
      <x:c r="C137" s="14"/>
      <x:c r="D137" s="14"/>
      <x:c r="E137" s="14"/>
      <x:c r="F137" s="22"/>
      <x:c r="G137" s="22"/>
      <x:c r="H137" s="28"/>
      <x:c r="I137" s="22" t="n">
        <x:f>(F137*12+G137)*H137</x:f>
        <x:v>0</x:v>
      </x:c>
      <x:c r="J137" s="25"/>
      <x:c r="K137" s="14"/>
      <x:c r="L137" s="25"/>
      <x:c r="M137" s="14"/>
      <x:c r="N137" s="14"/>
    </x:row>
    <x:row r="138">
      <x:c r="A138" s="14"/>
      <x:c r="B138" s="14"/>
      <x:c r="C138" s="14"/>
      <x:c r="D138" s="14"/>
      <x:c r="E138" s="14"/>
      <x:c r="F138" s="22"/>
      <x:c r="G138" s="22"/>
      <x:c r="H138" s="28"/>
      <x:c r="I138" s="22" t="n">
        <x:f>(F138*12+G138)*H138</x:f>
        <x:v>0</x:v>
      </x:c>
      <x:c r="J138" s="25"/>
      <x:c r="K138" s="14"/>
      <x:c r="L138" s="25"/>
      <x:c r="M138" s="14"/>
      <x:c r="N138" s="14"/>
    </x:row>
    <x:row r="139">
      <x:c r="A139" s="14"/>
      <x:c r="B139" s="14"/>
      <x:c r="C139" s="14"/>
      <x:c r="D139" s="14"/>
      <x:c r="E139" s="14"/>
      <x:c r="F139" s="22"/>
      <x:c r="G139" s="22"/>
      <x:c r="H139" s="28"/>
      <x:c r="I139" s="22" t="n">
        <x:f>(F139*12+G139)*H139</x:f>
        <x:v>0</x:v>
      </x:c>
      <x:c r="J139" s="25"/>
      <x:c r="K139" s="14"/>
      <x:c r="L139" s="25"/>
      <x:c r="M139" s="14"/>
      <x:c r="N139" s="14"/>
    </x:row>
    <x:row r="140">
      <x:c r="A140" s="14"/>
      <x:c r="B140" s="14"/>
      <x:c r="C140" s="14"/>
      <x:c r="D140" s="14"/>
      <x:c r="E140" s="14"/>
      <x:c r="F140" s="22"/>
      <x:c r="G140" s="22"/>
      <x:c r="H140" s="28"/>
      <x:c r="I140" s="22" t="n">
        <x:f>(F140*12+G140)*H140</x:f>
        <x:v>0</x:v>
      </x:c>
      <x:c r="J140" s="25"/>
      <x:c r="K140" s="14"/>
      <x:c r="L140" s="25"/>
      <x:c r="M140" s="14"/>
      <x:c r="N140" s="14"/>
    </x:row>
    <x:row r="141">
      <x:c r="A141" s="14"/>
      <x:c r="B141" s="14"/>
      <x:c r="C141" s="14"/>
      <x:c r="D141" s="14"/>
      <x:c r="E141" s="14"/>
      <x:c r="F141" s="22"/>
      <x:c r="G141" s="22"/>
      <x:c r="H141" s="28"/>
      <x:c r="I141" s="22" t="n">
        <x:f>(F141*12+G141)*H141</x:f>
        <x:v>0</x:v>
      </x:c>
      <x:c r="J141" s="25"/>
      <x:c r="K141" s="14"/>
      <x:c r="L141" s="25"/>
      <x:c r="M141" s="14"/>
      <x:c r="N141" s="14"/>
    </x:row>
    <x:row r="142">
      <x:c r="A142" s="14"/>
      <x:c r="B142" s="14"/>
      <x:c r="C142" s="14"/>
      <x:c r="D142" s="14"/>
      <x:c r="E142" s="14"/>
      <x:c r="F142" s="22"/>
      <x:c r="G142" s="22"/>
      <x:c r="H142" s="28"/>
      <x:c r="I142" s="22" t="n">
        <x:f>(F142*12+G142)*H142</x:f>
        <x:v>0</x:v>
      </x:c>
      <x:c r="J142" s="25"/>
      <x:c r="K142" s="14"/>
      <x:c r="L142" s="25"/>
      <x:c r="M142" s="14"/>
      <x:c r="N142" s="14"/>
    </x:row>
    <x:row r="143">
      <x:c r="A143" s="14"/>
      <x:c r="B143" s="14"/>
      <x:c r="C143" s="14"/>
      <x:c r="D143" s="14"/>
      <x:c r="E143" s="14"/>
      <x:c r="F143" s="22"/>
      <x:c r="G143" s="22"/>
      <x:c r="H143" s="28"/>
      <x:c r="I143" s="22" t="n">
        <x:f>(F143*12+G143)*H143</x:f>
        <x:v>0</x:v>
      </x:c>
      <x:c r="J143" s="25"/>
      <x:c r="K143" s="14"/>
      <x:c r="L143" s="25"/>
      <x:c r="M143" s="14"/>
      <x:c r="N143" s="14"/>
    </x:row>
    <x:row r="144">
      <x:c r="A144" s="14"/>
      <x:c r="B144" s="14"/>
      <x:c r="C144" s="14"/>
      <x:c r="D144" s="14"/>
      <x:c r="E144" s="14"/>
      <x:c r="F144" s="22"/>
      <x:c r="G144" s="22"/>
      <x:c r="H144" s="28"/>
      <x:c r="I144" s="22" t="n">
        <x:f>(F144*12+G144)*H144</x:f>
        <x:v>0</x:v>
      </x:c>
      <x:c r="J144" s="25"/>
      <x:c r="K144" s="14"/>
      <x:c r="L144" s="25"/>
      <x:c r="M144" s="14"/>
      <x:c r="N144" s="14"/>
    </x:row>
    <x:row r="145">
      <x:c r="A145" s="14"/>
      <x:c r="B145" s="14"/>
      <x:c r="C145" s="14"/>
      <x:c r="D145" s="14"/>
      <x:c r="E145" s="14"/>
      <x:c r="F145" s="22"/>
      <x:c r="G145" s="22"/>
      <x:c r="H145" s="28"/>
      <x:c r="I145" s="22" t="n">
        <x:f>(F145*12+G145)*H145</x:f>
        <x:v>0</x:v>
      </x:c>
      <x:c r="J145" s="25"/>
      <x:c r="K145" s="14"/>
      <x:c r="L145" s="25"/>
      <x:c r="M145" s="14"/>
      <x:c r="N145" s="14"/>
    </x:row>
    <x:row r="146">
      <x:c r="A146" s="14"/>
      <x:c r="B146" s="14"/>
      <x:c r="C146" s="14"/>
      <x:c r="D146" s="14"/>
      <x:c r="E146" s="14"/>
      <x:c r="F146" s="22"/>
      <x:c r="G146" s="22"/>
      <x:c r="H146" s="28"/>
      <x:c r="I146" s="22" t="n">
        <x:f>(F146*12+G146)*H146</x:f>
        <x:v>0</x:v>
      </x:c>
      <x:c r="J146" s="25"/>
      <x:c r="K146" s="14"/>
      <x:c r="L146" s="25"/>
      <x:c r="M146" s="14"/>
      <x:c r="N146" s="14"/>
    </x:row>
    <x:row r="147">
      <x:c r="A147" s="14"/>
      <x:c r="B147" s="14"/>
      <x:c r="C147" s="14"/>
      <x:c r="D147" s="14"/>
      <x:c r="E147" s="14"/>
      <x:c r="F147" s="22"/>
      <x:c r="G147" s="22"/>
      <x:c r="H147" s="28"/>
      <x:c r="I147" s="22" t="n">
        <x:f>(F147*12+G147)*H147</x:f>
        <x:v>0</x:v>
      </x:c>
      <x:c r="J147" s="25"/>
      <x:c r="K147" s="14"/>
      <x:c r="L147" s="25"/>
      <x:c r="M147" s="14"/>
      <x:c r="N147" s="14"/>
    </x:row>
    <x:row r="148">
      <x:c r="A148" s="14"/>
      <x:c r="B148" s="14"/>
      <x:c r="C148" s="14"/>
      <x:c r="D148" s="14"/>
      <x:c r="E148" s="14"/>
      <x:c r="F148" s="22"/>
      <x:c r="G148" s="22"/>
      <x:c r="H148" s="28"/>
      <x:c r="I148" s="22" t="n">
        <x:f>(F148*12+G148)*H148</x:f>
        <x:v>0</x:v>
      </x:c>
      <x:c r="J148" s="25"/>
      <x:c r="K148" s="14"/>
      <x:c r="L148" s="25"/>
      <x:c r="M148" s="14"/>
      <x:c r="N148" s="14"/>
    </x:row>
    <x:row r="149">
      <x:c r="A149" s="14"/>
      <x:c r="B149" s="14"/>
      <x:c r="C149" s="14"/>
      <x:c r="D149" s="14"/>
      <x:c r="E149" s="14"/>
      <x:c r="F149" s="22"/>
      <x:c r="G149" s="22"/>
      <x:c r="H149" s="28"/>
      <x:c r="I149" s="22" t="n">
        <x:f>(F149*12+G149)*H149</x:f>
        <x:v>0</x:v>
      </x:c>
      <x:c r="J149" s="25"/>
      <x:c r="K149" s="14"/>
      <x:c r="L149" s="25"/>
      <x:c r="M149" s="14"/>
      <x:c r="N149" s="14"/>
    </x:row>
    <x:row r="150">
      <x:c r="A150" s="14"/>
      <x:c r="B150" s="14"/>
      <x:c r="C150" s="14"/>
      <x:c r="D150" s="14"/>
      <x:c r="E150" s="14"/>
      <x:c r="F150" s="22"/>
      <x:c r="G150" s="22"/>
      <x:c r="H150" s="28"/>
      <x:c r="I150" s="22" t="n">
        <x:f>(F150*12+G150)*H150</x:f>
        <x:v>0</x:v>
      </x:c>
      <x:c r="J150" s="25"/>
      <x:c r="K150" s="14"/>
      <x:c r="L150" s="25"/>
      <x:c r="M150" s="14"/>
      <x:c r="N150" s="14"/>
    </x:row>
    <x:row r="151">
      <x:c r="A151" s="14"/>
      <x:c r="B151" s="14"/>
      <x:c r="C151" s="14"/>
      <x:c r="D151" s="14"/>
      <x:c r="E151" s="14"/>
      <x:c r="F151" s="22"/>
      <x:c r="G151" s="22"/>
      <x:c r="H151" s="28"/>
      <x:c r="I151" s="22" t="n">
        <x:f>(F151*12+G151)*H151</x:f>
        <x:v>0</x:v>
      </x:c>
      <x:c r="J151" s="25"/>
      <x:c r="K151" s="14"/>
      <x:c r="L151" s="25"/>
      <x:c r="M151" s="14"/>
      <x:c r="N151" s="14"/>
    </x:row>
    <x:row r="152">
      <x:c r="A152" s="14"/>
      <x:c r="B152" s="14"/>
      <x:c r="C152" s="14"/>
      <x:c r="D152" s="14"/>
      <x:c r="E152" s="14"/>
      <x:c r="F152" s="22"/>
      <x:c r="G152" s="22"/>
      <x:c r="H152" s="28"/>
      <x:c r="I152" s="22" t="n">
        <x:f>(F152*12+G152)*H152</x:f>
        <x:v>0</x:v>
      </x:c>
      <x:c r="J152" s="25"/>
      <x:c r="K152" s="14"/>
      <x:c r="L152" s="25"/>
      <x:c r="M152" s="14"/>
      <x:c r="N152" s="14"/>
    </x:row>
    <x:row r="153">
      <x:c r="A153" s="14"/>
      <x:c r="B153" s="14"/>
      <x:c r="C153" s="14"/>
      <x:c r="D153" s="14"/>
      <x:c r="E153" s="14"/>
      <x:c r="F153" s="22"/>
      <x:c r="G153" s="22"/>
      <x:c r="H153" s="28"/>
      <x:c r="I153" s="22" t="n">
        <x:f>(F153*12+G153)*H153</x:f>
        <x:v>0</x:v>
      </x:c>
      <x:c r="J153" s="25"/>
      <x:c r="K153" s="14"/>
      <x:c r="L153" s="25"/>
      <x:c r="M153" s="14"/>
      <x:c r="N153" s="14"/>
    </x:row>
    <x:row r="154">
      <x:c r="A154" s="14"/>
      <x:c r="B154" s="14"/>
      <x:c r="C154" s="14"/>
      <x:c r="D154" s="14"/>
      <x:c r="E154" s="14"/>
      <x:c r="F154" s="22"/>
      <x:c r="G154" s="22"/>
      <x:c r="H154" s="28"/>
      <x:c r="I154" s="22" t="n">
        <x:f>(F154*12+G154)*H154</x:f>
        <x:v>0</x:v>
      </x:c>
      <x:c r="J154" s="25"/>
      <x:c r="K154" s="14"/>
      <x:c r="L154" s="25"/>
      <x:c r="M154" s="14"/>
      <x:c r="N154" s="14"/>
    </x:row>
    <x:row r="155">
      <x:c r="A155" s="14"/>
      <x:c r="B155" s="14"/>
      <x:c r="C155" s="14"/>
      <x:c r="D155" s="14"/>
      <x:c r="E155" s="14"/>
      <x:c r="F155" s="22"/>
      <x:c r="G155" s="22"/>
      <x:c r="H155" s="28"/>
      <x:c r="I155" s="22" t="n">
        <x:f>(F155*12+G155)*H155</x:f>
        <x:v>0</x:v>
      </x:c>
      <x:c r="J155" s="25"/>
      <x:c r="K155" s="14"/>
      <x:c r="L155" s="25"/>
      <x:c r="M155" s="14"/>
      <x:c r="N155" s="14"/>
    </x:row>
    <x:row r="156">
      <x:c r="A156" s="14"/>
      <x:c r="B156" s="14"/>
      <x:c r="C156" s="14"/>
      <x:c r="D156" s="14"/>
      <x:c r="E156" s="14"/>
      <x:c r="F156" s="22"/>
      <x:c r="G156" s="22"/>
      <x:c r="H156" s="28"/>
      <x:c r="I156" s="22" t="n">
        <x:f>(F156*12+G156)*H156</x:f>
        <x:v>0</x:v>
      </x:c>
      <x:c r="J156" s="25"/>
      <x:c r="K156" s="14"/>
      <x:c r="L156" s="25"/>
      <x:c r="M156" s="14"/>
      <x:c r="N156" s="14"/>
    </x:row>
    <x:row r="157">
      <x:c r="A157" s="14"/>
      <x:c r="B157" s="14"/>
      <x:c r="C157" s="14"/>
      <x:c r="D157" s="14"/>
      <x:c r="E157" s="14"/>
      <x:c r="F157" s="22"/>
      <x:c r="G157" s="22"/>
      <x:c r="H157" s="28"/>
      <x:c r="I157" s="22" t="n">
        <x:f>(F157*12+G157)*H157</x:f>
        <x:v>0</x:v>
      </x:c>
      <x:c r="J157" s="25"/>
      <x:c r="K157" s="14"/>
      <x:c r="L157" s="25"/>
      <x:c r="M157" s="14"/>
      <x:c r="N157" s="14"/>
    </x:row>
    <x:row r="158">
      <x:c r="A158" s="14"/>
      <x:c r="B158" s="14"/>
      <x:c r="C158" s="14"/>
      <x:c r="D158" s="14"/>
      <x:c r="E158" s="14"/>
      <x:c r="F158" s="22"/>
      <x:c r="G158" s="22"/>
      <x:c r="H158" s="28"/>
      <x:c r="I158" s="22" t="n">
        <x:f>(F158*12+G158)*H158</x:f>
        <x:v>0</x:v>
      </x:c>
      <x:c r="J158" s="25"/>
      <x:c r="K158" s="14"/>
      <x:c r="L158" s="25"/>
      <x:c r="M158" s="14"/>
      <x:c r="N158" s="14"/>
    </x:row>
    <x:row r="159">
      <x:c r="A159" s="14"/>
      <x:c r="B159" s="14"/>
      <x:c r="C159" s="14"/>
      <x:c r="D159" s="14"/>
      <x:c r="E159" s="14"/>
      <x:c r="F159" s="22"/>
      <x:c r="G159" s="22"/>
      <x:c r="H159" s="28"/>
      <x:c r="I159" s="22" t="n">
        <x:f>(F159*12+G159)*H159</x:f>
        <x:v>0</x:v>
      </x:c>
      <x:c r="J159" s="25"/>
      <x:c r="K159" s="14"/>
      <x:c r="L159" s="25"/>
      <x:c r="M159" s="14"/>
      <x:c r="N159" s="14"/>
    </x:row>
    <x:row r="160">
      <x:c r="A160" s="14"/>
      <x:c r="B160" s="14"/>
      <x:c r="C160" s="14"/>
      <x:c r="D160" s="14"/>
      <x:c r="E160" s="14"/>
      <x:c r="F160" s="22"/>
      <x:c r="G160" s="22"/>
      <x:c r="H160" s="28"/>
      <x:c r="I160" s="22" t="n">
        <x:f>(F160*12+G160)*H160</x:f>
        <x:v>0</x:v>
      </x:c>
      <x:c r="J160" s="25"/>
      <x:c r="K160" s="14"/>
      <x:c r="L160" s="25"/>
      <x:c r="M160" s="14"/>
      <x:c r="N160" s="14"/>
    </x:row>
    <x:row r="161">
      <x:c r="A161" s="14"/>
      <x:c r="B161" s="14"/>
      <x:c r="C161" s="14"/>
      <x:c r="D161" s="14"/>
      <x:c r="E161" s="14"/>
      <x:c r="F161" s="22"/>
      <x:c r="G161" s="22"/>
      <x:c r="H161" s="28"/>
      <x:c r="I161" s="22" t="n">
        <x:f>(F161*12+G161)*H161</x:f>
        <x:v>0</x:v>
      </x:c>
      <x:c r="J161" s="25"/>
      <x:c r="K161" s="14"/>
      <x:c r="L161" s="25"/>
      <x:c r="M161" s="14"/>
      <x:c r="N161" s="14"/>
    </x:row>
    <x:row r="162">
      <x:c r="A162" s="14"/>
      <x:c r="B162" s="14"/>
      <x:c r="C162" s="14"/>
      <x:c r="D162" s="14"/>
      <x:c r="E162" s="14"/>
      <x:c r="F162" s="22"/>
      <x:c r="G162" s="22"/>
      <x:c r="H162" s="28"/>
      <x:c r="I162" s="22" t="n">
        <x:f>(F162*12+G162)*H162</x:f>
        <x:v>0</x:v>
      </x:c>
      <x:c r="J162" s="25"/>
      <x:c r="K162" s="14"/>
      <x:c r="L162" s="25"/>
      <x:c r="M162" s="14"/>
      <x:c r="N162" s="14"/>
    </x:row>
    <x:row r="163">
      <x:c r="A163" s="14"/>
      <x:c r="B163" s="14"/>
      <x:c r="C163" s="14"/>
      <x:c r="D163" s="14"/>
      <x:c r="E163" s="14"/>
      <x:c r="F163" s="22"/>
      <x:c r="G163" s="22"/>
      <x:c r="H163" s="28"/>
      <x:c r="I163" s="22" t="n">
        <x:f>(F163*12+G163)*H163</x:f>
        <x:v>0</x:v>
      </x:c>
      <x:c r="J163" s="25"/>
      <x:c r="K163" s="14"/>
      <x:c r="L163" s="25"/>
      <x:c r="M163" s="14"/>
      <x:c r="N163" s="14"/>
    </x:row>
    <x:row r="164">
      <x:c r="A164" s="14"/>
      <x:c r="B164" s="14"/>
      <x:c r="C164" s="14"/>
      <x:c r="D164" s="14"/>
      <x:c r="E164" s="14"/>
      <x:c r="F164" s="22"/>
      <x:c r="G164" s="22"/>
      <x:c r="H164" s="28"/>
      <x:c r="I164" s="22" t="n">
        <x:f>(F164*12+G164)*H164</x:f>
        <x:v>0</x:v>
      </x:c>
      <x:c r="J164" s="25"/>
      <x:c r="K164" s="14"/>
      <x:c r="L164" s="25"/>
      <x:c r="M164" s="14"/>
      <x:c r="N164" s="14"/>
    </x:row>
    <x:row r="165">
      <x:c r="A165" s="14"/>
      <x:c r="B165" s="14"/>
      <x:c r="C165" s="14"/>
      <x:c r="D165" s="14"/>
      <x:c r="E165" s="14"/>
      <x:c r="F165" s="22"/>
      <x:c r="G165" s="22"/>
      <x:c r="H165" s="28"/>
      <x:c r="I165" s="22" t="n">
        <x:f>(F165*12+G165)*H165</x:f>
        <x:v>0</x:v>
      </x:c>
      <x:c r="J165" s="25"/>
      <x:c r="K165" s="14"/>
      <x:c r="L165" s="25"/>
      <x:c r="M165" s="14"/>
      <x:c r="N165" s="14"/>
    </x:row>
    <x:row r="166">
      <x:c r="A166" s="14"/>
      <x:c r="B166" s="14"/>
      <x:c r="C166" s="14"/>
      <x:c r="D166" s="14"/>
      <x:c r="E166" s="14"/>
      <x:c r="F166" s="22"/>
      <x:c r="G166" s="22"/>
      <x:c r="H166" s="28"/>
      <x:c r="I166" s="22" t="n">
        <x:f>(F166*12+G166)*H166</x:f>
        <x:v>0</x:v>
      </x:c>
      <x:c r="J166" s="25"/>
      <x:c r="K166" s="14"/>
      <x:c r="L166" s="25"/>
      <x:c r="M166" s="14"/>
      <x:c r="N166" s="14"/>
    </x:row>
    <x:row r="167">
      <x:c r="A167" s="14"/>
      <x:c r="B167" s="14"/>
      <x:c r="C167" s="14"/>
      <x:c r="D167" s="14"/>
      <x:c r="E167" s="14"/>
      <x:c r="F167" s="22"/>
      <x:c r="G167" s="22"/>
      <x:c r="H167" s="28"/>
      <x:c r="I167" s="22" t="n">
        <x:f>(F167*12+G167)*H167</x:f>
        <x:v>0</x:v>
      </x:c>
      <x:c r="J167" s="25"/>
      <x:c r="K167" s="14"/>
      <x:c r="L167" s="25"/>
      <x:c r="M167" s="14"/>
      <x:c r="N167" s="14"/>
    </x:row>
    <x:row r="168">
      <x:c r="A168" s="14"/>
      <x:c r="B168" s="14"/>
      <x:c r="C168" s="14"/>
      <x:c r="D168" s="14"/>
      <x:c r="E168" s="14"/>
      <x:c r="F168" s="22"/>
      <x:c r="G168" s="22"/>
      <x:c r="H168" s="28"/>
      <x:c r="I168" s="22" t="n">
        <x:f>(F168*12+G168)*H168</x:f>
        <x:v>0</x:v>
      </x:c>
      <x:c r="J168" s="25"/>
      <x:c r="K168" s="14"/>
      <x:c r="L168" s="25"/>
      <x:c r="M168" s="14"/>
      <x:c r="N168" s="14"/>
    </x:row>
    <x:row r="169">
      <x:c r="A169" s="14"/>
      <x:c r="B169" s="14"/>
      <x:c r="C169" s="14"/>
      <x:c r="D169" s="14"/>
      <x:c r="E169" s="14"/>
      <x:c r="F169" s="22"/>
      <x:c r="G169" s="22"/>
      <x:c r="H169" s="28"/>
      <x:c r="I169" s="22" t="n">
        <x:f>(F169*12+G169)*H169</x:f>
        <x:v>0</x:v>
      </x:c>
      <x:c r="J169" s="25"/>
      <x:c r="K169" s="14"/>
      <x:c r="L169" s="25"/>
      <x:c r="M169" s="14"/>
      <x:c r="N169" s="14"/>
    </x:row>
    <x:row r="170">
      <x:c r="A170" s="14"/>
      <x:c r="B170" s="14"/>
      <x:c r="C170" s="14"/>
      <x:c r="D170" s="14"/>
      <x:c r="E170" s="14"/>
      <x:c r="F170" s="22"/>
      <x:c r="G170" s="22"/>
      <x:c r="H170" s="28"/>
      <x:c r="I170" s="22" t="n">
        <x:f>(F170*12+G170)*H170</x:f>
        <x:v>0</x:v>
      </x:c>
      <x:c r="J170" s="25"/>
      <x:c r="K170" s="14"/>
      <x:c r="L170" s="25"/>
      <x:c r="M170" s="14"/>
      <x:c r="N170" s="14"/>
    </x:row>
    <x:row r="171">
      <x:c r="A171" s="14"/>
      <x:c r="B171" s="14"/>
      <x:c r="C171" s="14"/>
      <x:c r="D171" s="14"/>
      <x:c r="E171" s="14"/>
      <x:c r="F171" s="22"/>
      <x:c r="G171" s="22"/>
      <x:c r="H171" s="28"/>
      <x:c r="I171" s="22" t="n">
        <x:f>(F171*12+G171)*H171</x:f>
        <x:v>0</x:v>
      </x:c>
      <x:c r="J171" s="25"/>
      <x:c r="K171" s="14"/>
      <x:c r="L171" s="25"/>
      <x:c r="M171" s="14"/>
      <x:c r="N171" s="14"/>
    </x:row>
    <x:row r="172">
      <x:c r="A172" s="14"/>
      <x:c r="B172" s="14"/>
      <x:c r="C172" s="14"/>
      <x:c r="D172" s="14"/>
      <x:c r="E172" s="14"/>
      <x:c r="F172" s="22"/>
      <x:c r="G172" s="22"/>
      <x:c r="H172" s="28"/>
      <x:c r="I172" s="22" t="n">
        <x:f>(F172*12+G172)*H172</x:f>
        <x:v>0</x:v>
      </x:c>
      <x:c r="J172" s="25"/>
      <x:c r="K172" s="14"/>
      <x:c r="L172" s="25"/>
      <x:c r="M172" s="14"/>
      <x:c r="N172" s="14"/>
    </x:row>
    <x:row r="173">
      <x:c r="A173" s="14"/>
      <x:c r="B173" s="14"/>
      <x:c r="C173" s="14"/>
      <x:c r="D173" s="14"/>
      <x:c r="E173" s="14"/>
      <x:c r="F173" s="22"/>
      <x:c r="G173" s="22"/>
      <x:c r="H173" s="28"/>
      <x:c r="I173" s="22" t="n">
        <x:f>(F173*12+G173)*H173</x:f>
        <x:v>0</x:v>
      </x:c>
      <x:c r="J173" s="25"/>
      <x:c r="K173" s="14"/>
      <x:c r="L173" s="25"/>
      <x:c r="M173" s="14"/>
      <x:c r="N173" s="14"/>
    </x:row>
    <x:row r="174">
      <x:c r="A174" s="14"/>
      <x:c r="B174" s="14"/>
      <x:c r="C174" s="14"/>
      <x:c r="D174" s="14"/>
      <x:c r="E174" s="14"/>
      <x:c r="F174" s="22"/>
      <x:c r="G174" s="22"/>
      <x:c r="H174" s="28"/>
      <x:c r="I174" s="22" t="n">
        <x:f>(F174*12+G174)*H174</x:f>
        <x:v>0</x:v>
      </x:c>
      <x:c r="J174" s="25"/>
      <x:c r="K174" s="14"/>
      <x:c r="L174" s="25"/>
      <x:c r="M174" s="14"/>
      <x:c r="N174" s="14"/>
    </x:row>
    <x:row r="175">
      <x:c r="A175" s="14"/>
      <x:c r="B175" s="14"/>
      <x:c r="C175" s="14"/>
      <x:c r="D175" s="14"/>
      <x:c r="E175" s="14"/>
      <x:c r="F175" s="22"/>
      <x:c r="G175" s="22"/>
      <x:c r="H175" s="28"/>
      <x:c r="I175" s="22" t="n">
        <x:f>(F175*12+G175)*H175</x:f>
        <x:v>0</x:v>
      </x:c>
      <x:c r="J175" s="25"/>
      <x:c r="K175" s="14"/>
      <x:c r="L175" s="25"/>
      <x:c r="M175" s="14"/>
      <x:c r="N175" s="14"/>
    </x:row>
    <x:row r="176">
      <x:c r="A176" s="14"/>
      <x:c r="B176" s="14"/>
      <x:c r="C176" s="14"/>
      <x:c r="D176" s="14"/>
      <x:c r="E176" s="14"/>
      <x:c r="F176" s="22"/>
      <x:c r="G176" s="22"/>
      <x:c r="H176" s="28"/>
      <x:c r="I176" s="22" t="n">
        <x:f>(F176*12+G176)*H176</x:f>
        <x:v>0</x:v>
      </x:c>
      <x:c r="J176" s="25"/>
      <x:c r="K176" s="14"/>
      <x:c r="L176" s="25"/>
      <x:c r="M176" s="14"/>
      <x:c r="N176" s="14"/>
    </x:row>
    <x:row r="177">
      <x:c r="A177" s="14"/>
      <x:c r="B177" s="14"/>
      <x:c r="C177" s="14"/>
      <x:c r="D177" s="14"/>
      <x:c r="E177" s="14"/>
      <x:c r="F177" s="22"/>
      <x:c r="G177" s="22"/>
      <x:c r="H177" s="28"/>
      <x:c r="I177" s="22" t="n">
        <x:f>(F177*12+G177)*H177</x:f>
        <x:v>0</x:v>
      </x:c>
      <x:c r="J177" s="25"/>
      <x:c r="K177" s="14"/>
      <x:c r="L177" s="25"/>
      <x:c r="M177" s="14"/>
      <x:c r="N177" s="14"/>
    </x:row>
    <x:row r="178">
      <x:c r="A178" s="14"/>
      <x:c r="B178" s="14"/>
      <x:c r="C178" s="14"/>
      <x:c r="D178" s="14"/>
      <x:c r="E178" s="14"/>
      <x:c r="F178" s="22"/>
      <x:c r="G178" s="22"/>
      <x:c r="H178" s="28"/>
      <x:c r="I178" s="22" t="n">
        <x:f>(F178*12+G178)*H178</x:f>
        <x:v>0</x:v>
      </x:c>
      <x:c r="J178" s="25"/>
      <x:c r="K178" s="14"/>
      <x:c r="L178" s="25"/>
      <x:c r="M178" s="14"/>
      <x:c r="N178" s="14"/>
    </x:row>
    <x:row r="179">
      <x:c r="A179" s="14"/>
      <x:c r="B179" s="14"/>
      <x:c r="C179" s="14"/>
      <x:c r="D179" s="14"/>
      <x:c r="E179" s="14"/>
      <x:c r="F179" s="22"/>
      <x:c r="G179" s="22"/>
      <x:c r="H179" s="28"/>
      <x:c r="I179" s="22" t="n">
        <x:f>(F179*12+G179)*H179</x:f>
        <x:v>0</x:v>
      </x:c>
      <x:c r="J179" s="25"/>
      <x:c r="K179" s="14"/>
      <x:c r="L179" s="25"/>
      <x:c r="M179" s="14"/>
      <x:c r="N179" s="14"/>
    </x:row>
    <x:row r="180">
      <x:c r="A180" s="14"/>
      <x:c r="B180" s="14"/>
      <x:c r="C180" s="14"/>
      <x:c r="D180" s="14"/>
      <x:c r="E180" s="14"/>
      <x:c r="F180" s="22"/>
      <x:c r="G180" s="22"/>
      <x:c r="H180" s="28"/>
      <x:c r="I180" s="22" t="n">
        <x:f>(F180*12+G180)*H180</x:f>
        <x:v>0</x:v>
      </x:c>
      <x:c r="J180" s="25"/>
      <x:c r="K180" s="14"/>
      <x:c r="L180" s="25"/>
      <x:c r="M180" s="14"/>
      <x:c r="N180" s="14"/>
    </x:row>
    <x:row r="181">
      <x:c r="A181" s="14"/>
      <x:c r="B181" s="14"/>
      <x:c r="C181" s="14"/>
      <x:c r="D181" s="14"/>
      <x:c r="E181" s="14"/>
      <x:c r="F181" s="22"/>
      <x:c r="G181" s="22"/>
      <x:c r="H181" s="28"/>
      <x:c r="I181" s="22" t="n">
        <x:f>(F181*12+G181)*H181</x:f>
        <x:v>0</x:v>
      </x:c>
      <x:c r="J181" s="25"/>
      <x:c r="K181" s="14"/>
      <x:c r="L181" s="25"/>
      <x:c r="M181" s="14"/>
      <x:c r="N181" s="14"/>
    </x:row>
    <x:row r="182">
      <x:c r="A182" s="14"/>
      <x:c r="B182" s="14"/>
      <x:c r="C182" s="14"/>
      <x:c r="D182" s="14"/>
      <x:c r="E182" s="14"/>
      <x:c r="F182" s="22"/>
      <x:c r="G182" s="22"/>
      <x:c r="H182" s="28"/>
      <x:c r="I182" s="22" t="n">
        <x:f>(F182*12+G182)*H182</x:f>
        <x:v>0</x:v>
      </x:c>
      <x:c r="J182" s="25"/>
      <x:c r="K182" s="14"/>
      <x:c r="L182" s="25"/>
      <x:c r="M182" s="14"/>
      <x:c r="N182" s="14"/>
    </x:row>
    <x:row r="183">
      <x:c r="A183" s="14"/>
      <x:c r="B183" s="14"/>
      <x:c r="C183" s="14"/>
      <x:c r="D183" s="14"/>
      <x:c r="E183" s="14"/>
      <x:c r="F183" s="22"/>
      <x:c r="G183" s="22"/>
      <x:c r="H183" s="28"/>
      <x:c r="I183" s="22" t="n">
        <x:f>(F183*12+G183)*H183</x:f>
        <x:v>0</x:v>
      </x:c>
      <x:c r="J183" s="25"/>
      <x:c r="K183" s="14"/>
      <x:c r="L183" s="25"/>
      <x:c r="M183" s="14"/>
      <x:c r="N183" s="14"/>
    </x:row>
    <x:row r="184">
      <x:c r="A184" s="14"/>
      <x:c r="B184" s="14"/>
      <x:c r="C184" s="14"/>
      <x:c r="D184" s="14"/>
      <x:c r="E184" s="14"/>
      <x:c r="F184" s="22"/>
      <x:c r="G184" s="22"/>
      <x:c r="H184" s="28"/>
      <x:c r="I184" s="22" t="n">
        <x:f>(F184*12+G184)*H184</x:f>
        <x:v>0</x:v>
      </x:c>
      <x:c r="J184" s="25"/>
      <x:c r="K184" s="14"/>
      <x:c r="L184" s="25"/>
      <x:c r="M184" s="14"/>
      <x:c r="N184" s="14"/>
    </x:row>
    <x:row r="185">
      <x:c r="A185" s="14"/>
      <x:c r="B185" s="14"/>
      <x:c r="C185" s="14"/>
      <x:c r="D185" s="14"/>
      <x:c r="E185" s="14"/>
      <x:c r="F185" s="22"/>
      <x:c r="G185" s="22"/>
      <x:c r="H185" s="28"/>
      <x:c r="I185" s="22" t="n">
        <x:f>(F185*12+G185)*H185</x:f>
        <x:v>0</x:v>
      </x:c>
      <x:c r="J185" s="25"/>
      <x:c r="K185" s="14"/>
      <x:c r="L185" s="25"/>
      <x:c r="M185" s="14"/>
      <x:c r="N185" s="14"/>
    </x:row>
    <x:row r="186">
      <x:c r="A186" s="14"/>
      <x:c r="B186" s="14"/>
      <x:c r="C186" s="14"/>
      <x:c r="D186" s="14"/>
      <x:c r="E186" s="14"/>
      <x:c r="F186" s="22"/>
      <x:c r="G186" s="22"/>
      <x:c r="H186" s="28"/>
      <x:c r="I186" s="22" t="n">
        <x:f>(F186*12+G186)*H186</x:f>
        <x:v>0</x:v>
      </x:c>
      <x:c r="J186" s="25"/>
      <x:c r="K186" s="14"/>
      <x:c r="L186" s="25"/>
      <x:c r="M186" s="14"/>
      <x:c r="N186" s="14"/>
    </x:row>
    <x:row r="187">
      <x:c r="A187" s="14"/>
      <x:c r="B187" s="14"/>
      <x:c r="C187" s="14"/>
      <x:c r="D187" s="14"/>
      <x:c r="E187" s="14"/>
      <x:c r="F187" s="22"/>
      <x:c r="G187" s="22"/>
      <x:c r="H187" s="28"/>
      <x:c r="I187" s="22" t="n">
        <x:f>(F187*12+G187)*H187</x:f>
        <x:v>0</x:v>
      </x:c>
      <x:c r="J187" s="25"/>
      <x:c r="K187" s="14"/>
      <x:c r="L187" s="25"/>
      <x:c r="M187" s="14"/>
      <x:c r="N187" s="14"/>
    </x:row>
    <x:row r="188">
      <x:c r="A188" s="14"/>
      <x:c r="B188" s="14"/>
      <x:c r="C188" s="14"/>
      <x:c r="D188" s="14"/>
      <x:c r="E188" s="14"/>
      <x:c r="F188" s="22"/>
      <x:c r="G188" s="22"/>
      <x:c r="H188" s="28"/>
      <x:c r="I188" s="22" t="n">
        <x:f>(F188*12+G188)*H188</x:f>
        <x:v>0</x:v>
      </x:c>
      <x:c r="J188" s="25"/>
      <x:c r="K188" s="14"/>
      <x:c r="L188" s="25"/>
      <x:c r="M188" s="14"/>
      <x:c r="N188" s="14"/>
    </x:row>
    <x:row r="189">
      <x:c r="A189" s="14"/>
      <x:c r="B189" s="14"/>
      <x:c r="C189" s="14"/>
      <x:c r="D189" s="14"/>
      <x:c r="E189" s="14"/>
      <x:c r="F189" s="22"/>
      <x:c r="G189" s="22"/>
      <x:c r="H189" s="28"/>
      <x:c r="I189" s="22" t="n">
        <x:f>(F189*12+G189)*H189</x:f>
        <x:v>0</x:v>
      </x:c>
      <x:c r="J189" s="25"/>
      <x:c r="K189" s="14"/>
      <x:c r="L189" s="25"/>
      <x:c r="M189" s="14"/>
      <x:c r="N189" s="14"/>
    </x:row>
    <x:row r="190">
      <x:c r="A190" s="14"/>
      <x:c r="B190" s="14"/>
      <x:c r="C190" s="14"/>
      <x:c r="D190" s="14"/>
      <x:c r="E190" s="14"/>
      <x:c r="F190" s="22"/>
      <x:c r="G190" s="22"/>
      <x:c r="H190" s="28"/>
      <x:c r="I190" s="22" t="n">
        <x:f>(F190*12+G190)*H190</x:f>
        <x:v>0</x:v>
      </x:c>
      <x:c r="J190" s="25"/>
      <x:c r="K190" s="14"/>
      <x:c r="L190" s="25"/>
      <x:c r="M190" s="14"/>
      <x:c r="N190" s="14"/>
    </x:row>
    <x:row r="191">
      <x:c r="A191" s="14"/>
      <x:c r="B191" s="14"/>
      <x:c r="C191" s="14"/>
      <x:c r="D191" s="14"/>
      <x:c r="E191" s="14"/>
      <x:c r="F191" s="22"/>
      <x:c r="G191" s="22"/>
      <x:c r="H191" s="28"/>
      <x:c r="I191" s="22" t="n">
        <x:f>(F191*12+G191)*H191</x:f>
        <x:v>0</x:v>
      </x:c>
      <x:c r="J191" s="25"/>
      <x:c r="K191" s="14"/>
      <x:c r="L191" s="25"/>
      <x:c r="M191" s="14"/>
      <x:c r="N191" s="14"/>
    </x:row>
    <x:row r="192">
      <x:c r="A192" s="14"/>
      <x:c r="B192" s="14"/>
      <x:c r="C192" s="14"/>
      <x:c r="D192" s="14"/>
      <x:c r="E192" s="14"/>
      <x:c r="F192" s="22"/>
      <x:c r="G192" s="22"/>
      <x:c r="H192" s="28"/>
      <x:c r="I192" s="22" t="n">
        <x:f>(F192*12+G192)*H192</x:f>
        <x:v>0</x:v>
      </x:c>
      <x:c r="J192" s="25"/>
      <x:c r="K192" s="14"/>
      <x:c r="L192" s="25"/>
      <x:c r="M192" s="14"/>
      <x:c r="N192" s="14"/>
    </x:row>
    <x:row r="193">
      <x:c r="A193" s="14"/>
      <x:c r="B193" s="14"/>
      <x:c r="C193" s="14"/>
      <x:c r="D193" s="14"/>
      <x:c r="E193" s="14"/>
      <x:c r="F193" s="22"/>
      <x:c r="G193" s="22"/>
      <x:c r="H193" s="28"/>
      <x:c r="I193" s="22" t="n">
        <x:f>(F193*12+G193)*H193</x:f>
        <x:v>0</x:v>
      </x:c>
      <x:c r="J193" s="25"/>
      <x:c r="K193" s="14"/>
      <x:c r="L193" s="25"/>
      <x:c r="M193" s="14"/>
      <x:c r="N193" s="14"/>
    </x:row>
    <x:row r="194">
      <x:c r="A194" s="14"/>
      <x:c r="B194" s="14"/>
      <x:c r="C194" s="14"/>
      <x:c r="D194" s="14"/>
      <x:c r="E194" s="14"/>
      <x:c r="F194" s="22"/>
      <x:c r="G194" s="22"/>
      <x:c r="H194" s="28"/>
      <x:c r="I194" s="22" t="n">
        <x:f>(F194*12+G194)*H194</x:f>
        <x:v>0</x:v>
      </x:c>
      <x:c r="J194" s="25"/>
      <x:c r="K194" s="14"/>
      <x:c r="L194" s="25"/>
      <x:c r="M194" s="14"/>
      <x:c r="N194" s="14"/>
    </x:row>
    <x:row r="195">
      <x:c r="A195" s="14"/>
      <x:c r="B195" s="14"/>
      <x:c r="C195" s="14"/>
      <x:c r="D195" s="14"/>
      <x:c r="E195" s="14"/>
      <x:c r="F195" s="22"/>
      <x:c r="G195" s="22"/>
      <x:c r="H195" s="28"/>
      <x:c r="I195" s="22" t="n">
        <x:f>(F195*12+G195)*H195</x:f>
        <x:v>0</x:v>
      </x:c>
      <x:c r="J195" s="25"/>
      <x:c r="K195" s="14"/>
      <x:c r="L195" s="25"/>
      <x:c r="M195" s="14"/>
      <x:c r="N195" s="14"/>
    </x:row>
    <x:row r="196">
      <x:c r="A196" s="14"/>
      <x:c r="B196" s="14"/>
      <x:c r="C196" s="14"/>
      <x:c r="D196" s="14"/>
      <x:c r="E196" s="14"/>
      <x:c r="F196" s="22"/>
      <x:c r="G196" s="22"/>
      <x:c r="H196" s="28"/>
      <x:c r="I196" s="22" t="n">
        <x:f>(F196*12+G196)*H196</x:f>
        <x:v>0</x:v>
      </x:c>
      <x:c r="J196" s="25"/>
      <x:c r="K196" s="14"/>
      <x:c r="L196" s="25"/>
      <x:c r="M196" s="14"/>
      <x:c r="N196" s="14"/>
    </x:row>
    <x:row r="197">
      <x:c r="A197" s="14"/>
      <x:c r="B197" s="14"/>
      <x:c r="C197" s="14"/>
      <x:c r="D197" s="14"/>
      <x:c r="E197" s="14"/>
      <x:c r="F197" s="22"/>
      <x:c r="G197" s="22"/>
      <x:c r="H197" s="28"/>
      <x:c r="I197" s="22" t="n">
        <x:f>(F197*12+G197)*H197</x:f>
        <x:v>0</x:v>
      </x:c>
      <x:c r="J197" s="25"/>
      <x:c r="K197" s="14"/>
      <x:c r="L197" s="25"/>
      <x:c r="M197" s="14"/>
      <x:c r="N197" s="14"/>
    </x:row>
    <x:row r="198">
      <x:c r="A198" s="14"/>
      <x:c r="B198" s="14"/>
      <x:c r="C198" s="14"/>
      <x:c r="D198" s="14"/>
      <x:c r="E198" s="14"/>
      <x:c r="F198" s="22"/>
      <x:c r="G198" s="22"/>
      <x:c r="H198" s="28"/>
      <x:c r="I198" s="22" t="n">
        <x:f>(F198*12+G198)*H198</x:f>
        <x:v>0</x:v>
      </x:c>
      <x:c r="J198" s="25"/>
      <x:c r="K198" s="14"/>
      <x:c r="L198" s="25"/>
      <x:c r="M198" s="14"/>
      <x:c r="N198" s="14"/>
    </x:row>
    <x:row r="199">
      <x:c r="A199" s="14"/>
      <x:c r="B199" s="14"/>
      <x:c r="C199" s="14"/>
      <x:c r="D199" s="14"/>
      <x:c r="E199" s="14"/>
      <x:c r="F199" s="22"/>
      <x:c r="G199" s="22"/>
      <x:c r="H199" s="28"/>
      <x:c r="I199" s="22" t="n">
        <x:f>(F199*12+G199)*H199</x:f>
        <x:v>0</x:v>
      </x:c>
      <x:c r="J199" s="25"/>
      <x:c r="K199" s="14"/>
      <x:c r="L199" s="25"/>
      <x:c r="M199" s="14"/>
      <x:c r="N199" s="14"/>
    </x:row>
    <x:row r="200">
      <x:c r="A200" s="14"/>
      <x:c r="B200" s="14"/>
      <x:c r="C200" s="14"/>
      <x:c r="D200" s="14"/>
      <x:c r="E200" s="14"/>
      <x:c r="F200" s="22"/>
      <x:c r="G200" s="22"/>
      <x:c r="H200" s="28"/>
      <x:c r="I200" s="22" t="n">
        <x:f>(F200*12+G200)*H200</x:f>
        <x:v>0</x:v>
      </x:c>
      <x:c r="J200" s="25"/>
      <x:c r="K200" s="14"/>
      <x:c r="L200" s="25"/>
      <x:c r="M200" s="14"/>
      <x:c r="N200" s="14"/>
    </x:row>
    <x:row r="201">
      <x:c r="A201" s="14"/>
      <x:c r="B201" s="14"/>
      <x:c r="C201" s="14"/>
      <x:c r="D201" s="14"/>
      <x:c r="E201" s="14"/>
      <x:c r="F201" s="22"/>
      <x:c r="G201" s="22"/>
      <x:c r="H201" s="28"/>
      <x:c r="I201" s="22" t="n">
        <x:f>(F201*12+G201)*H201</x:f>
        <x:v>0</x:v>
      </x:c>
      <x:c r="J201" s="25"/>
      <x:c r="K201" s="14"/>
      <x:c r="L201" s="25"/>
      <x:c r="M201" s="14"/>
      <x:c r="N201" s="14"/>
    </x:row>
    <x:row r="202">
      <x:c r="A202" s="14"/>
      <x:c r="B202" s="14"/>
      <x:c r="C202" s="14"/>
      <x:c r="D202" s="14"/>
      <x:c r="E202" s="14"/>
      <x:c r="F202" s="22"/>
      <x:c r="G202" s="22"/>
      <x:c r="H202" s="28"/>
      <x:c r="I202" s="22" t="n">
        <x:f>(F202*12+G202)*H202</x:f>
        <x:v>0</x:v>
      </x:c>
      <x:c r="J202" s="25"/>
      <x:c r="K202" s="14"/>
      <x:c r="L202" s="25"/>
      <x:c r="M202" s="14"/>
      <x:c r="N202" s="14"/>
    </x:row>
    <x:row r="203">
      <x:c r="A203" s="14"/>
      <x:c r="B203" s="14"/>
      <x:c r="C203" s="14"/>
      <x:c r="D203" s="14"/>
      <x:c r="E203" s="14"/>
      <x:c r="F203" s="22"/>
      <x:c r="G203" s="22"/>
      <x:c r="H203" s="28"/>
      <x:c r="I203" s="22" t="n">
        <x:f>(F203*12+G203)*H203</x:f>
        <x:v>0</x:v>
      </x:c>
      <x:c r="J203" s="25"/>
      <x:c r="K203" s="14"/>
      <x:c r="L203" s="25"/>
      <x:c r="M203" s="14"/>
      <x:c r="N203" s="14"/>
    </x:row>
    <x:row r="204">
      <x:c r="A204" s="14"/>
      <x:c r="B204" s="14"/>
      <x:c r="C204" s="14"/>
      <x:c r="D204" s="14"/>
      <x:c r="E204" s="14"/>
      <x:c r="F204" s="22"/>
      <x:c r="G204" s="22"/>
      <x:c r="H204" s="28"/>
      <x:c r="I204" s="22" t="n">
        <x:f>(F204*12+G204)*H204</x:f>
        <x:v>0</x:v>
      </x:c>
      <x:c r="J204" s="25"/>
      <x:c r="K204" s="14"/>
      <x:c r="L204" s="25"/>
      <x:c r="M204" s="14"/>
      <x:c r="N204" s="14"/>
    </x:row>
    <x:row r="205">
      <x:c r="A205" s="15"/>
      <x:c r="B205" s="15"/>
      <x:c r="C205" s="15"/>
      <x:c r="D205" s="15"/>
      <x:c r="E205" s="15"/>
      <x:c r="F205" s="23"/>
      <x:c r="G205" s="23"/>
      <x:c r="H205" s="29"/>
      <x:c r="I205" s="23" t="n">
        <x:f>(F205*12+G205)*H205</x:f>
        <x:v>0</x:v>
      </x:c>
      <x:c r="J205" s="26"/>
      <x:c r="K205" s="15"/>
      <x:c r="L205" s="26"/>
      <x:c r="M205" s="15"/>
      <x:c r="N205" s="15"/>
    </x:row>
  </x:sheetData>
  <x:mergeCells>
    <x:mergeCell ref="A1:N1"/>
    <x:mergeCell ref="A2:N2"/>
  </x:mergeCells>
  <x:dataValidations count="1">
    <x:dataValidation type="list" sqref="D5:D205">
      <x:formula1>"New,Qualified,Diagnostic Scheduled,Proposal Sent,Negotiation,Won,Lost,Nurture"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bf9eb0881643a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4" max="4" width="27" hidden="0" customWidth="1"/>
    <x:col min="5" max="5" width="21" hidden="0" customWidth="1"/>
  </x:cols>
  <x:sheetData>
    <x:row r="1" ht="34" customHeight="1">
      <x:c r="A1" s="2" t="str">
        <x:v>Pricing Calculator</x:v>
      </x:c>
      <x:c r="B1" s="2"/>
      <x:c r="C1" s="2"/>
      <x:c r="D1" s="2"/>
      <x:c r="E1" s="2"/>
      <x:c r="F1" s="2"/>
      <x:c r="G1" s="2"/>
      <x:c r="H1" s="2"/>
    </x:row>
    <x:row r="2" ht="25" customHeight="1">
      <x:c r="A2" s="4" t="str">
        <x:v>Yellow cells are assumptions. Price for effort, complexity, risk, and margin—not transaction count alone.</x:v>
      </x:c>
      <x:c r="B2" s="4"/>
      <x:c r="C2" s="4"/>
      <x:c r="D2" s="4"/>
      <x:c r="E2" s="4"/>
      <x:c r="F2" s="4"/>
      <x:c r="G2" s="4"/>
      <x:c r="H2" s="4"/>
    </x:row>
    <x:row r="4">
      <x:c r="A4" s="8" t="str">
        <x:v>Input</x:v>
      </x:c>
      <x:c r="B4" s="8" t="str">
        <x:v>Value</x:v>
      </x:c>
      <x:c r="D4" s="8" t="str">
        <x:v>Output</x:v>
      </x:c>
      <x:c r="E4" s="8" t="str">
        <x:v>Calculated</x:v>
      </x:c>
    </x:row>
    <x:row r="5">
      <x:c r="A5" s="13" t="str">
        <x:v>Monthly transactions</x:v>
      </x:c>
      <x:c r="B5" s="16" t="n">
        <x:v>250</x:v>
      </x:c>
      <x:c r="D5" s="13" t="str">
        <x:v>Volume hours</x:v>
      </x:c>
      <x:c r="E5" s="13" t="n">
        <x:f>B5/100*B12</x:f>
        <x:v>3.125</x:v>
      </x:c>
    </x:row>
    <x:row r="6">
      <x:c r="A6" s="14" t="str">
        <x:v>Bank accounts</x:v>
      </x:c>
      <x:c r="B6" s="17" t="n">
        <x:v>2</x:v>
      </x:c>
      <x:c r="D6" s="14" t="str">
        <x:v>Estimated monthly hours</x:v>
      </x:c>
      <x:c r="E6" s="14" t="n">
        <x:f>B11+E5+B13</x:f>
        <x:v>8.125</x:v>
      </x:c>
    </x:row>
    <x:row r="7">
      <x:c r="A7" s="14" t="str">
        <x:v>Credit cards</x:v>
      </x:c>
      <x:c r="B7" s="17" t="n">
        <x:v>2</x:v>
      </x:c>
      <x:c r="D7" s="14" t="str">
        <x:v>Delivery cost</x:v>
      </x:c>
      <x:c r="E7" s="22" t="n">
        <x:f>E6*B14</x:f>
        <x:v>284.375</x:v>
      </x:c>
    </x:row>
    <x:row r="8">
      <x:c r="A8" s="14" t="str">
        <x:v>Payroll employees</x:v>
      </x:c>
      <x:c r="B8" s="17" t="n">
        <x:v>8</x:v>
      </x:c>
      <x:c r="D8" s="14" t="str">
        <x:v>Margin-based price</x:v>
      </x:c>
      <x:c r="E8" s="22" t="n">
        <x:f>IF(1-B15=0,0,E7/(1-B15))</x:f>
        <x:v>812.5</x:v>
      </x:c>
    </x:row>
    <x:row r="9">
      <x:c r="A9" s="14" t="str">
        <x:v>Payment processors</x:v>
      </x:c>
      <x:c r="B9" s="17" t="n">
        <x:v>2</x:v>
      </x:c>
      <x:c r="D9" s="14" t="str">
        <x:v>Recommended monthly fee</x:v>
      </x:c>
      <x:c r="E9" s="22" t="n">
        <x:f>MAX(B16,ROUNDUP(E8/25,0)*25)</x:f>
        <x:v>825</x:v>
      </x:c>
    </x:row>
    <x:row r="10">
      <x:c r="A10" s="14" t="str">
        <x:v>Entities</x:v>
      </x:c>
      <x:c r="B10" s="17" t="n">
        <x:v>1</x:v>
      </x:c>
      <x:c r="D10" s="14" t="str">
        <x:v>Effective hourly rate</x:v>
      </x:c>
      <x:c r="E10" s="22" t="n">
        <x:f>IF(E6=0,0,E9/E6)</x:f>
        <x:v>101.53846153846153</x:v>
      </x:c>
    </x:row>
    <x:row r="11">
      <x:c r="A11" s="14" t="str">
        <x:v>Base monthly hours</x:v>
      </x:c>
      <x:c r="B11" s="17" t="n">
        <x:v>3</x:v>
      </x:c>
      <x:c r="D11" s="14" t="str">
        <x:v>Annual contract value</x:v>
      </x:c>
      <x:c r="E11" s="22" t="n">
        <x:f>E9*12</x:f>
        <x:v>9900</x:v>
      </x:c>
    </x:row>
    <x:row r="12">
      <x:c r="A12" s="14" t="str">
        <x:v>Hours per 100 transactions</x:v>
      </x:c>
      <x:c r="B12" s="17" t="n">
        <x:v>1.25</x:v>
      </x:c>
      <x:c r="D12" s="15" t="str">
        <x:v>Suggested setup fee</x:v>
      </x:c>
      <x:c r="E12" s="23" t="n">
        <x:f>MAX(E9,E7*2)</x:f>
        <x:v>825</x:v>
      </x:c>
    </x:row>
    <x:row r="13">
      <x:c r="A13" s="14" t="str">
        <x:v>Complexity hours</x:v>
      </x:c>
      <x:c r="B13" s="17" t="n">
        <x:v>2</x:v>
      </x:c>
    </x:row>
    <x:row r="14">
      <x:c r="A14" s="14" t="str">
        <x:v>Hourly cost</x:v>
      </x:c>
      <x:c r="B14" s="19" t="n">
        <x:v>35</x:v>
      </x:c>
    </x:row>
    <x:row r="15">
      <x:c r="A15" s="14" t="str">
        <x:v>Target gross margin</x:v>
      </x:c>
      <x:c r="B15" s="20" t="n">
        <x:v>0.65</x:v>
      </x:c>
    </x:row>
    <x:row r="16">
      <x:c r="A16" s="15" t="str">
        <x:v>Minimum monthly fee</x:v>
      </x:c>
      <x:c r="B16" s="30" t="n">
        <x:v>350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24" hidden="0" customWidth="1"/>
    <x:col min="4" max="4" width="14" hidden="0" customWidth="1"/>
    <x:col min="5" max="5" width="13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1" hidden="0" customWidth="1"/>
    <x:col min="11" max="11" width="16" hidden="0" customWidth="1"/>
    <x:col min="12" max="12" width="17" hidden="0" customWidth="1"/>
    <x:col min="13" max="13" width="15" hidden="0" customWidth="1"/>
    <x:col min="14" max="14" width="16" hidden="0" customWidth="1"/>
    <x:col min="15" max="15" width="15" hidden="0" customWidth="1"/>
    <x:col min="16" max="16" width="34" hidden="0" customWidth="1"/>
  </x:cols>
  <x:sheetData>
    <x:row r="1" ht="34" customHeight="1">
      <x:c r="A1" s="2" t="str">
        <x:v>Monthly Close Tracker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5" customHeight="1">
      <x:c r="A2" s="4" t="str">
        <x:v>One row per client and period. Record exceptions and reviewer sign-off.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4">
      <x:c r="A4" s="8" t="str">
        <x:v>Period</x:v>
      </x:c>
      <x:c r="B4" s="8" t="str">
        <x:v>Client</x:v>
      </x:c>
      <x:c r="C4" s="8" t="str">
        <x:v>Status</x:v>
      </x:c>
      <x:c r="D4" s="8" t="str">
        <x:v>Owner</x:v>
      </x:c>
      <x:c r="E4" s="8" t="str">
        <x:v>Due Date</x:v>
      </x:c>
      <x:c r="F4" s="8" t="str">
        <x:v>Bank Reconciled</x:v>
      </x:c>
      <x:c r="G4" s="8" t="str">
        <x:v>Cards Reconciled</x:v>
      </x:c>
      <x:c r="H4" s="8" t="str">
        <x:v>Loans Reconciled</x:v>
      </x:c>
      <x:c r="I4" s="8" t="str">
        <x:v>Payroll Reviewed</x:v>
      </x:c>
      <x:c r="J4" s="8" t="str">
        <x:v>Tax Liability Reviewed</x:v>
      </x:c>
      <x:c r="K4" s="8" t="str">
        <x:v>Questions Sent</x:v>
      </x:c>
      <x:c r="L4" s="8" t="str">
        <x:v>Questions Cleared</x:v>
      </x:c>
      <x:c r="M4" s="8" t="str">
        <x:v>Reports Ready</x:v>
      </x:c>
      <x:c r="N4" s="8" t="str">
        <x:v>Reviewer</x:v>
      </x:c>
      <x:c r="O4" s="8" t="str">
        <x:v>Delivered Date</x:v>
      </x:c>
      <x:c r="P4" s="8" t="str">
        <x:v>Notes</x:v>
      </x:c>
    </x:row>
    <x:row r="5">
      <x:c r="A5" s="13" t="str">
        <x:v>2026-07</x:v>
      </x:c>
      <x:c r="B5" s="13" t="str">
        <x:v>Harbor Design LLC</x:v>
      </x:c>
      <x:c r="C5" s="13" t="str">
        <x:v>In Progress</x:v>
      </x:c>
      <x:c r="D5" s="13" t="str">
        <x:v>[OWNER]</x:v>
      </x:c>
      <x:c r="E5" s="24" t="n">
        <x:v>46249</x:v>
      </x:c>
      <x:c r="F5" s="13" t="str">
        <x:v>Yes</x:v>
      </x:c>
      <x:c r="G5" s="13" t="str">
        <x:v>No</x:v>
      </x:c>
      <x:c r="H5" s="13" t="str">
        <x:v>N/A</x:v>
      </x:c>
      <x:c r="I5" s="13" t="str">
        <x:v>Yes</x:v>
      </x:c>
      <x:c r="J5" s="13" t="str">
        <x:v>Yes</x:v>
      </x:c>
      <x:c r="K5" s="13" t="str">
        <x:v>No</x:v>
      </x:c>
      <x:c r="L5" s="13" t="str">
        <x:v>No</x:v>
      </x:c>
      <x:c r="M5" s="13" t="str">
        <x:v>No</x:v>
      </x:c>
      <x:c r="N5" s="13" t="str">
        <x:v>[REVIEWER]</x:v>
      </x:c>
      <x:c r="O5" s="24" t="str"/>
      <x:c r="P5" s="13" t="str">
        <x:v>Sample row</x:v>
      </x:c>
    </x:row>
    <x:row r="6">
      <x:c r="A6" s="14"/>
      <x:c r="B6" s="14"/>
      <x:c r="C6" s="14"/>
      <x:c r="D6" s="14"/>
      <x:c r="E6" s="25"/>
      <x:c r="F6" s="14"/>
      <x:c r="G6" s="14"/>
      <x:c r="H6" s="14"/>
      <x:c r="I6" s="14"/>
      <x:c r="J6" s="14"/>
      <x:c r="K6" s="14"/>
      <x:c r="L6" s="14"/>
      <x:c r="M6" s="14"/>
      <x:c r="N6" s="14"/>
      <x:c r="O6" s="25"/>
      <x:c r="P6" s="14"/>
    </x:row>
    <x:row r="7">
      <x:c r="A7" s="14"/>
      <x:c r="B7" s="14"/>
      <x:c r="C7" s="14"/>
      <x:c r="D7" s="14"/>
      <x:c r="E7" s="25"/>
      <x:c r="F7" s="14"/>
      <x:c r="G7" s="14"/>
      <x:c r="H7" s="14"/>
      <x:c r="I7" s="14"/>
      <x:c r="J7" s="14"/>
      <x:c r="K7" s="14"/>
      <x:c r="L7" s="14"/>
      <x:c r="M7" s="14"/>
      <x:c r="N7" s="14"/>
      <x:c r="O7" s="25"/>
      <x:c r="P7" s="14"/>
    </x:row>
    <x:row r="8">
      <x:c r="A8" s="14"/>
      <x:c r="B8" s="14"/>
      <x:c r="C8" s="14"/>
      <x:c r="D8" s="14"/>
      <x:c r="E8" s="25"/>
      <x:c r="F8" s="14"/>
      <x:c r="G8" s="14"/>
      <x:c r="H8" s="14"/>
      <x:c r="I8" s="14"/>
      <x:c r="J8" s="14"/>
      <x:c r="K8" s="14"/>
      <x:c r="L8" s="14"/>
      <x:c r="M8" s="14"/>
      <x:c r="N8" s="14"/>
      <x:c r="O8" s="25"/>
      <x:c r="P8" s="14"/>
    </x:row>
    <x:row r="9">
      <x:c r="A9" s="14"/>
      <x:c r="B9" s="14"/>
      <x:c r="C9" s="14"/>
      <x:c r="D9" s="14"/>
      <x:c r="E9" s="25"/>
      <x:c r="F9" s="14"/>
      <x:c r="G9" s="14"/>
      <x:c r="H9" s="14"/>
      <x:c r="I9" s="14"/>
      <x:c r="J9" s="14"/>
      <x:c r="K9" s="14"/>
      <x:c r="L9" s="14"/>
      <x:c r="M9" s="14"/>
      <x:c r="N9" s="14"/>
      <x:c r="O9" s="25"/>
      <x:c r="P9" s="14"/>
    </x:row>
    <x:row r="10">
      <x:c r="A10" s="14"/>
      <x:c r="B10" s="14"/>
      <x:c r="C10" s="14"/>
      <x:c r="D10" s="14"/>
      <x:c r="E10" s="25"/>
      <x:c r="F10" s="14"/>
      <x:c r="G10" s="14"/>
      <x:c r="H10" s="14"/>
      <x:c r="I10" s="14"/>
      <x:c r="J10" s="14"/>
      <x:c r="K10" s="14"/>
      <x:c r="L10" s="14"/>
      <x:c r="M10" s="14"/>
      <x:c r="N10" s="14"/>
      <x:c r="O10" s="25"/>
      <x:c r="P10" s="14"/>
    </x:row>
    <x:row r="11">
      <x:c r="A11" s="14"/>
      <x:c r="B11" s="14"/>
      <x:c r="C11" s="14"/>
      <x:c r="D11" s="14"/>
      <x:c r="E11" s="25"/>
      <x:c r="F11" s="14"/>
      <x:c r="G11" s="14"/>
      <x:c r="H11" s="14"/>
      <x:c r="I11" s="14"/>
      <x:c r="J11" s="14"/>
      <x:c r="K11" s="14"/>
      <x:c r="L11" s="14"/>
      <x:c r="M11" s="14"/>
      <x:c r="N11" s="14"/>
      <x:c r="O11" s="25"/>
      <x:c r="P11" s="14"/>
    </x:row>
    <x:row r="12">
      <x:c r="A12" s="14"/>
      <x:c r="B12" s="14"/>
      <x:c r="C12" s="14"/>
      <x:c r="D12" s="14"/>
      <x:c r="E12" s="25"/>
      <x:c r="F12" s="14"/>
      <x:c r="G12" s="14"/>
      <x:c r="H12" s="14"/>
      <x:c r="I12" s="14"/>
      <x:c r="J12" s="14"/>
      <x:c r="K12" s="14"/>
      <x:c r="L12" s="14"/>
      <x:c r="M12" s="14"/>
      <x:c r="N12" s="14"/>
      <x:c r="O12" s="25"/>
      <x:c r="P12" s="14"/>
    </x:row>
    <x:row r="13">
      <x:c r="A13" s="14"/>
      <x:c r="B13" s="14"/>
      <x:c r="C13" s="14"/>
      <x:c r="D13" s="14"/>
      <x:c r="E13" s="25"/>
      <x:c r="F13" s="14"/>
      <x:c r="G13" s="14"/>
      <x:c r="H13" s="14"/>
      <x:c r="I13" s="14"/>
      <x:c r="J13" s="14"/>
      <x:c r="K13" s="14"/>
      <x:c r="L13" s="14"/>
      <x:c r="M13" s="14"/>
      <x:c r="N13" s="14"/>
      <x:c r="O13" s="25"/>
      <x:c r="P13" s="14"/>
    </x:row>
    <x:row r="14">
      <x:c r="A14" s="14"/>
      <x:c r="B14" s="14"/>
      <x:c r="C14" s="14"/>
      <x:c r="D14" s="14"/>
      <x:c r="E14" s="25"/>
      <x:c r="F14" s="14"/>
      <x:c r="G14" s="14"/>
      <x:c r="H14" s="14"/>
      <x:c r="I14" s="14"/>
      <x:c r="J14" s="14"/>
      <x:c r="K14" s="14"/>
      <x:c r="L14" s="14"/>
      <x:c r="M14" s="14"/>
      <x:c r="N14" s="14"/>
      <x:c r="O14" s="25"/>
      <x:c r="P14" s="14"/>
    </x:row>
    <x:row r="15">
      <x:c r="A15" s="14"/>
      <x:c r="B15" s="14"/>
      <x:c r="C15" s="14"/>
      <x:c r="D15" s="14"/>
      <x:c r="E15" s="25"/>
      <x:c r="F15" s="14"/>
      <x:c r="G15" s="14"/>
      <x:c r="H15" s="14"/>
      <x:c r="I15" s="14"/>
      <x:c r="J15" s="14"/>
      <x:c r="K15" s="14"/>
      <x:c r="L15" s="14"/>
      <x:c r="M15" s="14"/>
      <x:c r="N15" s="14"/>
      <x:c r="O15" s="25"/>
      <x:c r="P15" s="14"/>
    </x:row>
    <x:row r="16">
      <x:c r="A16" s="14"/>
      <x:c r="B16" s="14"/>
      <x:c r="C16" s="14"/>
      <x:c r="D16" s="14"/>
      <x:c r="E16" s="25"/>
      <x:c r="F16" s="14"/>
      <x:c r="G16" s="14"/>
      <x:c r="H16" s="14"/>
      <x:c r="I16" s="14"/>
      <x:c r="J16" s="14"/>
      <x:c r="K16" s="14"/>
      <x:c r="L16" s="14"/>
      <x:c r="M16" s="14"/>
      <x:c r="N16" s="14"/>
      <x:c r="O16" s="25"/>
      <x:c r="P16" s="14"/>
    </x:row>
    <x:row r="17">
      <x:c r="A17" s="14"/>
      <x:c r="B17" s="14"/>
      <x:c r="C17" s="14"/>
      <x:c r="D17" s="14"/>
      <x:c r="E17" s="25"/>
      <x:c r="F17" s="14"/>
      <x:c r="G17" s="14"/>
      <x:c r="H17" s="14"/>
      <x:c r="I17" s="14"/>
      <x:c r="J17" s="14"/>
      <x:c r="K17" s="14"/>
      <x:c r="L17" s="14"/>
      <x:c r="M17" s="14"/>
      <x:c r="N17" s="14"/>
      <x:c r="O17" s="25"/>
      <x:c r="P17" s="14"/>
    </x:row>
    <x:row r="18">
      <x:c r="A18" s="14"/>
      <x:c r="B18" s="14"/>
      <x:c r="C18" s="14"/>
      <x:c r="D18" s="14"/>
      <x:c r="E18" s="25"/>
      <x:c r="F18" s="14"/>
      <x:c r="G18" s="14"/>
      <x:c r="H18" s="14"/>
      <x:c r="I18" s="14"/>
      <x:c r="J18" s="14"/>
      <x:c r="K18" s="14"/>
      <x:c r="L18" s="14"/>
      <x:c r="M18" s="14"/>
      <x:c r="N18" s="14"/>
      <x:c r="O18" s="25"/>
      <x:c r="P18" s="14"/>
    </x:row>
    <x:row r="19">
      <x:c r="A19" s="14"/>
      <x:c r="B19" s="14"/>
      <x:c r="C19" s="14"/>
      <x:c r="D19" s="14"/>
      <x:c r="E19" s="25"/>
      <x:c r="F19" s="14"/>
      <x:c r="G19" s="14"/>
      <x:c r="H19" s="14"/>
      <x:c r="I19" s="14"/>
      <x:c r="J19" s="14"/>
      <x:c r="K19" s="14"/>
      <x:c r="L19" s="14"/>
      <x:c r="M19" s="14"/>
      <x:c r="N19" s="14"/>
      <x:c r="O19" s="25"/>
      <x:c r="P19" s="14"/>
    </x:row>
    <x:row r="20">
      <x:c r="A20" s="14"/>
      <x:c r="B20" s="14"/>
      <x:c r="C20" s="14"/>
      <x:c r="D20" s="14"/>
      <x:c r="E20" s="25"/>
      <x:c r="F20" s="14"/>
      <x:c r="G20" s="14"/>
      <x:c r="H20" s="14"/>
      <x:c r="I20" s="14"/>
      <x:c r="J20" s="14"/>
      <x:c r="K20" s="14"/>
      <x:c r="L20" s="14"/>
      <x:c r="M20" s="14"/>
      <x:c r="N20" s="14"/>
      <x:c r="O20" s="25"/>
      <x:c r="P20" s="14"/>
    </x:row>
    <x:row r="21">
      <x:c r="A21" s="14"/>
      <x:c r="B21" s="14"/>
      <x:c r="C21" s="14"/>
      <x:c r="D21" s="14"/>
      <x:c r="E21" s="25"/>
      <x:c r="F21" s="14"/>
      <x:c r="G21" s="14"/>
      <x:c r="H21" s="14"/>
      <x:c r="I21" s="14"/>
      <x:c r="J21" s="14"/>
      <x:c r="K21" s="14"/>
      <x:c r="L21" s="14"/>
      <x:c r="M21" s="14"/>
      <x:c r="N21" s="14"/>
      <x:c r="O21" s="25"/>
      <x:c r="P21" s="14"/>
    </x:row>
    <x:row r="22">
      <x:c r="A22" s="14"/>
      <x:c r="B22" s="14"/>
      <x:c r="C22" s="14"/>
      <x:c r="D22" s="14"/>
      <x:c r="E22" s="25"/>
      <x:c r="F22" s="14"/>
      <x:c r="G22" s="14"/>
      <x:c r="H22" s="14"/>
      <x:c r="I22" s="14"/>
      <x:c r="J22" s="14"/>
      <x:c r="K22" s="14"/>
      <x:c r="L22" s="14"/>
      <x:c r="M22" s="14"/>
      <x:c r="N22" s="14"/>
      <x:c r="O22" s="25"/>
      <x:c r="P22" s="14"/>
    </x:row>
    <x:row r="23">
      <x:c r="A23" s="14"/>
      <x:c r="B23" s="14"/>
      <x:c r="C23" s="14"/>
      <x:c r="D23" s="14"/>
      <x:c r="E23" s="25"/>
      <x:c r="F23" s="14"/>
      <x:c r="G23" s="14"/>
      <x:c r="H23" s="14"/>
      <x:c r="I23" s="14"/>
      <x:c r="J23" s="14"/>
      <x:c r="K23" s="14"/>
      <x:c r="L23" s="14"/>
      <x:c r="M23" s="14"/>
      <x:c r="N23" s="14"/>
      <x:c r="O23" s="25"/>
      <x:c r="P23" s="14"/>
    </x:row>
    <x:row r="24">
      <x:c r="A24" s="14"/>
      <x:c r="B24" s="14"/>
      <x:c r="C24" s="14"/>
      <x:c r="D24" s="14"/>
      <x:c r="E24" s="25"/>
      <x:c r="F24" s="14"/>
      <x:c r="G24" s="14"/>
      <x:c r="H24" s="14"/>
      <x:c r="I24" s="14"/>
      <x:c r="J24" s="14"/>
      <x:c r="K24" s="14"/>
      <x:c r="L24" s="14"/>
      <x:c r="M24" s="14"/>
      <x:c r="N24" s="14"/>
      <x:c r="O24" s="25"/>
      <x:c r="P24" s="14"/>
    </x:row>
    <x:row r="25">
      <x:c r="A25" s="14"/>
      <x:c r="B25" s="14"/>
      <x:c r="C25" s="14"/>
      <x:c r="D25" s="14"/>
      <x:c r="E25" s="25"/>
      <x:c r="F25" s="14"/>
      <x:c r="G25" s="14"/>
      <x:c r="H25" s="14"/>
      <x:c r="I25" s="14"/>
      <x:c r="J25" s="14"/>
      <x:c r="K25" s="14"/>
      <x:c r="L25" s="14"/>
      <x:c r="M25" s="14"/>
      <x:c r="N25" s="14"/>
      <x:c r="O25" s="25"/>
      <x:c r="P25" s="14"/>
    </x:row>
    <x:row r="26">
      <x:c r="A26" s="14"/>
      <x:c r="B26" s="14"/>
      <x:c r="C26" s="14"/>
      <x:c r="D26" s="14"/>
      <x:c r="E26" s="25"/>
      <x:c r="F26" s="14"/>
      <x:c r="G26" s="14"/>
      <x:c r="H26" s="14"/>
      <x:c r="I26" s="14"/>
      <x:c r="J26" s="14"/>
      <x:c r="K26" s="14"/>
      <x:c r="L26" s="14"/>
      <x:c r="M26" s="14"/>
      <x:c r="N26" s="14"/>
      <x:c r="O26" s="25"/>
      <x:c r="P26" s="14"/>
    </x:row>
    <x:row r="27">
      <x:c r="A27" s="14"/>
      <x:c r="B27" s="14"/>
      <x:c r="C27" s="14"/>
      <x:c r="D27" s="14"/>
      <x:c r="E27" s="25"/>
      <x:c r="F27" s="14"/>
      <x:c r="G27" s="14"/>
      <x:c r="H27" s="14"/>
      <x:c r="I27" s="14"/>
      <x:c r="J27" s="14"/>
      <x:c r="K27" s="14"/>
      <x:c r="L27" s="14"/>
      <x:c r="M27" s="14"/>
      <x:c r="N27" s="14"/>
      <x:c r="O27" s="25"/>
      <x:c r="P27" s="14"/>
    </x:row>
    <x:row r="28">
      <x:c r="A28" s="14"/>
      <x:c r="B28" s="14"/>
      <x:c r="C28" s="14"/>
      <x:c r="D28" s="14"/>
      <x:c r="E28" s="25"/>
      <x:c r="F28" s="14"/>
      <x:c r="G28" s="14"/>
      <x:c r="H28" s="14"/>
      <x:c r="I28" s="14"/>
      <x:c r="J28" s="14"/>
      <x:c r="K28" s="14"/>
      <x:c r="L28" s="14"/>
      <x:c r="M28" s="14"/>
      <x:c r="N28" s="14"/>
      <x:c r="O28" s="25"/>
      <x:c r="P28" s="14"/>
    </x:row>
    <x:row r="29">
      <x:c r="A29" s="14"/>
      <x:c r="B29" s="14"/>
      <x:c r="C29" s="14"/>
      <x:c r="D29" s="14"/>
      <x:c r="E29" s="25"/>
      <x:c r="F29" s="14"/>
      <x:c r="G29" s="14"/>
      <x:c r="H29" s="14"/>
      <x:c r="I29" s="14"/>
      <x:c r="J29" s="14"/>
      <x:c r="K29" s="14"/>
      <x:c r="L29" s="14"/>
      <x:c r="M29" s="14"/>
      <x:c r="N29" s="14"/>
      <x:c r="O29" s="25"/>
      <x:c r="P29" s="14"/>
    </x:row>
    <x:row r="30">
      <x:c r="A30" s="14"/>
      <x:c r="B30" s="14"/>
      <x:c r="C30" s="14"/>
      <x:c r="D30" s="14"/>
      <x:c r="E30" s="25"/>
      <x:c r="F30" s="14"/>
      <x:c r="G30" s="14"/>
      <x:c r="H30" s="14"/>
      <x:c r="I30" s="14"/>
      <x:c r="J30" s="14"/>
      <x:c r="K30" s="14"/>
      <x:c r="L30" s="14"/>
      <x:c r="M30" s="14"/>
      <x:c r="N30" s="14"/>
      <x:c r="O30" s="25"/>
      <x:c r="P30" s="14"/>
    </x:row>
    <x:row r="31">
      <x:c r="A31" s="14"/>
      <x:c r="B31" s="14"/>
      <x:c r="C31" s="14"/>
      <x:c r="D31" s="14"/>
      <x:c r="E31" s="25"/>
      <x:c r="F31" s="14"/>
      <x:c r="G31" s="14"/>
      <x:c r="H31" s="14"/>
      <x:c r="I31" s="14"/>
      <x:c r="J31" s="14"/>
      <x:c r="K31" s="14"/>
      <x:c r="L31" s="14"/>
      <x:c r="M31" s="14"/>
      <x:c r="N31" s="14"/>
      <x:c r="O31" s="25"/>
      <x:c r="P31" s="14"/>
    </x:row>
    <x:row r="32">
      <x:c r="A32" s="14"/>
      <x:c r="B32" s="14"/>
      <x:c r="C32" s="14"/>
      <x:c r="D32" s="14"/>
      <x:c r="E32" s="25"/>
      <x:c r="F32" s="14"/>
      <x:c r="G32" s="14"/>
      <x:c r="H32" s="14"/>
      <x:c r="I32" s="14"/>
      <x:c r="J32" s="14"/>
      <x:c r="K32" s="14"/>
      <x:c r="L32" s="14"/>
      <x:c r="M32" s="14"/>
      <x:c r="N32" s="14"/>
      <x:c r="O32" s="25"/>
      <x:c r="P32" s="14"/>
    </x:row>
    <x:row r="33">
      <x:c r="A33" s="14"/>
      <x:c r="B33" s="14"/>
      <x:c r="C33" s="14"/>
      <x:c r="D33" s="14"/>
      <x:c r="E33" s="25"/>
      <x:c r="F33" s="14"/>
      <x:c r="G33" s="14"/>
      <x:c r="H33" s="14"/>
      <x:c r="I33" s="14"/>
      <x:c r="J33" s="14"/>
      <x:c r="K33" s="14"/>
      <x:c r="L33" s="14"/>
      <x:c r="M33" s="14"/>
      <x:c r="N33" s="14"/>
      <x:c r="O33" s="25"/>
      <x:c r="P33" s="14"/>
    </x:row>
    <x:row r="34">
      <x:c r="A34" s="14"/>
      <x:c r="B34" s="14"/>
      <x:c r="C34" s="14"/>
      <x:c r="D34" s="14"/>
      <x:c r="E34" s="25"/>
      <x:c r="F34" s="14"/>
      <x:c r="G34" s="14"/>
      <x:c r="H34" s="14"/>
      <x:c r="I34" s="14"/>
      <x:c r="J34" s="14"/>
      <x:c r="K34" s="14"/>
      <x:c r="L34" s="14"/>
      <x:c r="M34" s="14"/>
      <x:c r="N34" s="14"/>
      <x:c r="O34" s="25"/>
      <x:c r="P34" s="14"/>
    </x:row>
    <x:row r="35">
      <x:c r="A35" s="14"/>
      <x:c r="B35" s="14"/>
      <x:c r="C35" s="14"/>
      <x:c r="D35" s="14"/>
      <x:c r="E35" s="25"/>
      <x:c r="F35" s="14"/>
      <x:c r="G35" s="14"/>
      <x:c r="H35" s="14"/>
      <x:c r="I35" s="14"/>
      <x:c r="J35" s="14"/>
      <x:c r="K35" s="14"/>
      <x:c r="L35" s="14"/>
      <x:c r="M35" s="14"/>
      <x:c r="N35" s="14"/>
      <x:c r="O35" s="25"/>
      <x:c r="P35" s="14"/>
    </x:row>
    <x:row r="36">
      <x:c r="A36" s="14"/>
      <x:c r="B36" s="14"/>
      <x:c r="C36" s="14"/>
      <x:c r="D36" s="14"/>
      <x:c r="E36" s="25"/>
      <x:c r="F36" s="14"/>
      <x:c r="G36" s="14"/>
      <x:c r="H36" s="14"/>
      <x:c r="I36" s="14"/>
      <x:c r="J36" s="14"/>
      <x:c r="K36" s="14"/>
      <x:c r="L36" s="14"/>
      <x:c r="M36" s="14"/>
      <x:c r="N36" s="14"/>
      <x:c r="O36" s="25"/>
      <x:c r="P36" s="14"/>
    </x:row>
    <x:row r="37">
      <x:c r="A37" s="14"/>
      <x:c r="B37" s="14"/>
      <x:c r="C37" s="14"/>
      <x:c r="D37" s="14"/>
      <x:c r="E37" s="25"/>
      <x:c r="F37" s="14"/>
      <x:c r="G37" s="14"/>
      <x:c r="H37" s="14"/>
      <x:c r="I37" s="14"/>
      <x:c r="J37" s="14"/>
      <x:c r="K37" s="14"/>
      <x:c r="L37" s="14"/>
      <x:c r="M37" s="14"/>
      <x:c r="N37" s="14"/>
      <x:c r="O37" s="25"/>
      <x:c r="P37" s="14"/>
    </x:row>
    <x:row r="38">
      <x:c r="A38" s="14"/>
      <x:c r="B38" s="14"/>
      <x:c r="C38" s="14"/>
      <x:c r="D38" s="14"/>
      <x:c r="E38" s="25"/>
      <x:c r="F38" s="14"/>
      <x:c r="G38" s="14"/>
      <x:c r="H38" s="14"/>
      <x:c r="I38" s="14"/>
      <x:c r="J38" s="14"/>
      <x:c r="K38" s="14"/>
      <x:c r="L38" s="14"/>
      <x:c r="M38" s="14"/>
      <x:c r="N38" s="14"/>
      <x:c r="O38" s="25"/>
      <x:c r="P38" s="14"/>
    </x:row>
    <x:row r="39">
      <x:c r="A39" s="14"/>
      <x:c r="B39" s="14"/>
      <x:c r="C39" s="14"/>
      <x:c r="D39" s="14"/>
      <x:c r="E39" s="25"/>
      <x:c r="F39" s="14"/>
      <x:c r="G39" s="14"/>
      <x:c r="H39" s="14"/>
      <x:c r="I39" s="14"/>
      <x:c r="J39" s="14"/>
      <x:c r="K39" s="14"/>
      <x:c r="L39" s="14"/>
      <x:c r="M39" s="14"/>
      <x:c r="N39" s="14"/>
      <x:c r="O39" s="25"/>
      <x:c r="P39" s="14"/>
    </x:row>
    <x:row r="40">
      <x:c r="A40" s="14"/>
      <x:c r="B40" s="14"/>
      <x:c r="C40" s="14"/>
      <x:c r="D40" s="14"/>
      <x:c r="E40" s="25"/>
      <x:c r="F40" s="14"/>
      <x:c r="G40" s="14"/>
      <x:c r="H40" s="14"/>
      <x:c r="I40" s="14"/>
      <x:c r="J40" s="14"/>
      <x:c r="K40" s="14"/>
      <x:c r="L40" s="14"/>
      <x:c r="M40" s="14"/>
      <x:c r="N40" s="14"/>
      <x:c r="O40" s="25"/>
      <x:c r="P40" s="14"/>
    </x:row>
    <x:row r="41">
      <x:c r="A41" s="14"/>
      <x:c r="B41" s="14"/>
      <x:c r="C41" s="14"/>
      <x:c r="D41" s="14"/>
      <x:c r="E41" s="25"/>
      <x:c r="F41" s="14"/>
      <x:c r="G41" s="14"/>
      <x:c r="H41" s="14"/>
      <x:c r="I41" s="14"/>
      <x:c r="J41" s="14"/>
      <x:c r="K41" s="14"/>
      <x:c r="L41" s="14"/>
      <x:c r="M41" s="14"/>
      <x:c r="N41" s="14"/>
      <x:c r="O41" s="25"/>
      <x:c r="P41" s="14"/>
    </x:row>
    <x:row r="42">
      <x:c r="A42" s="14"/>
      <x:c r="B42" s="14"/>
      <x:c r="C42" s="14"/>
      <x:c r="D42" s="14"/>
      <x:c r="E42" s="25"/>
      <x:c r="F42" s="14"/>
      <x:c r="G42" s="14"/>
      <x:c r="H42" s="14"/>
      <x:c r="I42" s="14"/>
      <x:c r="J42" s="14"/>
      <x:c r="K42" s="14"/>
      <x:c r="L42" s="14"/>
      <x:c r="M42" s="14"/>
      <x:c r="N42" s="14"/>
      <x:c r="O42" s="25"/>
      <x:c r="P42" s="14"/>
    </x:row>
    <x:row r="43">
      <x:c r="A43" s="14"/>
      <x:c r="B43" s="14"/>
      <x:c r="C43" s="14"/>
      <x:c r="D43" s="14"/>
      <x:c r="E43" s="25"/>
      <x:c r="F43" s="14"/>
      <x:c r="G43" s="14"/>
      <x:c r="H43" s="14"/>
      <x:c r="I43" s="14"/>
      <x:c r="J43" s="14"/>
      <x:c r="K43" s="14"/>
      <x:c r="L43" s="14"/>
      <x:c r="M43" s="14"/>
      <x:c r="N43" s="14"/>
      <x:c r="O43" s="25"/>
      <x:c r="P43" s="14"/>
    </x:row>
    <x:row r="44">
      <x:c r="A44" s="14"/>
      <x:c r="B44" s="14"/>
      <x:c r="C44" s="14"/>
      <x:c r="D44" s="14"/>
      <x:c r="E44" s="25"/>
      <x:c r="F44" s="14"/>
      <x:c r="G44" s="14"/>
      <x:c r="H44" s="14"/>
      <x:c r="I44" s="14"/>
      <x:c r="J44" s="14"/>
      <x:c r="K44" s="14"/>
      <x:c r="L44" s="14"/>
      <x:c r="M44" s="14"/>
      <x:c r="N44" s="14"/>
      <x:c r="O44" s="25"/>
      <x:c r="P44" s="14"/>
    </x:row>
    <x:row r="45">
      <x:c r="A45" s="14"/>
      <x:c r="B45" s="14"/>
      <x:c r="C45" s="14"/>
      <x:c r="D45" s="14"/>
      <x:c r="E45" s="25"/>
      <x:c r="F45" s="14"/>
      <x:c r="G45" s="14"/>
      <x:c r="H45" s="14"/>
      <x:c r="I45" s="14"/>
      <x:c r="J45" s="14"/>
      <x:c r="K45" s="14"/>
      <x:c r="L45" s="14"/>
      <x:c r="M45" s="14"/>
      <x:c r="N45" s="14"/>
      <x:c r="O45" s="25"/>
      <x:c r="P45" s="14"/>
    </x:row>
    <x:row r="46">
      <x:c r="A46" s="14"/>
      <x:c r="B46" s="14"/>
      <x:c r="C46" s="14"/>
      <x:c r="D46" s="14"/>
      <x:c r="E46" s="25"/>
      <x:c r="F46" s="14"/>
      <x:c r="G46" s="14"/>
      <x:c r="H46" s="14"/>
      <x:c r="I46" s="14"/>
      <x:c r="J46" s="14"/>
      <x:c r="K46" s="14"/>
      <x:c r="L46" s="14"/>
      <x:c r="M46" s="14"/>
      <x:c r="N46" s="14"/>
      <x:c r="O46" s="25"/>
      <x:c r="P46" s="14"/>
    </x:row>
    <x:row r="47">
      <x:c r="A47" s="14"/>
      <x:c r="B47" s="14"/>
      <x:c r="C47" s="14"/>
      <x:c r="D47" s="14"/>
      <x:c r="E47" s="25"/>
      <x:c r="F47" s="14"/>
      <x:c r="G47" s="14"/>
      <x:c r="H47" s="14"/>
      <x:c r="I47" s="14"/>
      <x:c r="J47" s="14"/>
      <x:c r="K47" s="14"/>
      <x:c r="L47" s="14"/>
      <x:c r="M47" s="14"/>
      <x:c r="N47" s="14"/>
      <x:c r="O47" s="25"/>
      <x:c r="P47" s="14"/>
    </x:row>
    <x:row r="48">
      <x:c r="A48" s="14"/>
      <x:c r="B48" s="14"/>
      <x:c r="C48" s="14"/>
      <x:c r="D48" s="14"/>
      <x:c r="E48" s="25"/>
      <x:c r="F48" s="14"/>
      <x:c r="G48" s="14"/>
      <x:c r="H48" s="14"/>
      <x:c r="I48" s="14"/>
      <x:c r="J48" s="14"/>
      <x:c r="K48" s="14"/>
      <x:c r="L48" s="14"/>
      <x:c r="M48" s="14"/>
      <x:c r="N48" s="14"/>
      <x:c r="O48" s="25"/>
      <x:c r="P48" s="14"/>
    </x:row>
    <x:row r="49">
      <x:c r="A49" s="14"/>
      <x:c r="B49" s="14"/>
      <x:c r="C49" s="14"/>
      <x:c r="D49" s="14"/>
      <x:c r="E49" s="25"/>
      <x:c r="F49" s="14"/>
      <x:c r="G49" s="14"/>
      <x:c r="H49" s="14"/>
      <x:c r="I49" s="14"/>
      <x:c r="J49" s="14"/>
      <x:c r="K49" s="14"/>
      <x:c r="L49" s="14"/>
      <x:c r="M49" s="14"/>
      <x:c r="N49" s="14"/>
      <x:c r="O49" s="25"/>
      <x:c r="P49" s="14"/>
    </x:row>
    <x:row r="50">
      <x:c r="A50" s="14"/>
      <x:c r="B50" s="14"/>
      <x:c r="C50" s="14"/>
      <x:c r="D50" s="14"/>
      <x:c r="E50" s="25"/>
      <x:c r="F50" s="14"/>
      <x:c r="G50" s="14"/>
      <x:c r="H50" s="14"/>
      <x:c r="I50" s="14"/>
      <x:c r="J50" s="14"/>
      <x:c r="K50" s="14"/>
      <x:c r="L50" s="14"/>
      <x:c r="M50" s="14"/>
      <x:c r="N50" s="14"/>
      <x:c r="O50" s="25"/>
      <x:c r="P50" s="14"/>
    </x:row>
    <x:row r="51">
      <x:c r="A51" s="14"/>
      <x:c r="B51" s="14"/>
      <x:c r="C51" s="14"/>
      <x:c r="D51" s="14"/>
      <x:c r="E51" s="25"/>
      <x:c r="F51" s="14"/>
      <x:c r="G51" s="14"/>
      <x:c r="H51" s="14"/>
      <x:c r="I51" s="14"/>
      <x:c r="J51" s="14"/>
      <x:c r="K51" s="14"/>
      <x:c r="L51" s="14"/>
      <x:c r="M51" s="14"/>
      <x:c r="N51" s="14"/>
      <x:c r="O51" s="25"/>
      <x:c r="P51" s="14"/>
    </x:row>
    <x:row r="52">
      <x:c r="A52" s="14"/>
      <x:c r="B52" s="14"/>
      <x:c r="C52" s="14"/>
      <x:c r="D52" s="14"/>
      <x:c r="E52" s="25"/>
      <x:c r="F52" s="14"/>
      <x:c r="G52" s="14"/>
      <x:c r="H52" s="14"/>
      <x:c r="I52" s="14"/>
      <x:c r="J52" s="14"/>
      <x:c r="K52" s="14"/>
      <x:c r="L52" s="14"/>
      <x:c r="M52" s="14"/>
      <x:c r="N52" s="14"/>
      <x:c r="O52" s="25"/>
      <x:c r="P52" s="14"/>
    </x:row>
    <x:row r="53">
      <x:c r="A53" s="14"/>
      <x:c r="B53" s="14"/>
      <x:c r="C53" s="14"/>
      <x:c r="D53" s="14"/>
      <x:c r="E53" s="25"/>
      <x:c r="F53" s="14"/>
      <x:c r="G53" s="14"/>
      <x:c r="H53" s="14"/>
      <x:c r="I53" s="14"/>
      <x:c r="J53" s="14"/>
      <x:c r="K53" s="14"/>
      <x:c r="L53" s="14"/>
      <x:c r="M53" s="14"/>
      <x:c r="N53" s="14"/>
      <x:c r="O53" s="25"/>
      <x:c r="P53" s="14"/>
    </x:row>
    <x:row r="54">
      <x:c r="A54" s="14"/>
      <x:c r="B54" s="14"/>
      <x:c r="C54" s="14"/>
      <x:c r="D54" s="14"/>
      <x:c r="E54" s="25"/>
      <x:c r="F54" s="14"/>
      <x:c r="G54" s="14"/>
      <x:c r="H54" s="14"/>
      <x:c r="I54" s="14"/>
      <x:c r="J54" s="14"/>
      <x:c r="K54" s="14"/>
      <x:c r="L54" s="14"/>
      <x:c r="M54" s="14"/>
      <x:c r="N54" s="14"/>
      <x:c r="O54" s="25"/>
      <x:c r="P54" s="14"/>
    </x:row>
    <x:row r="55">
      <x:c r="A55" s="14"/>
      <x:c r="B55" s="14"/>
      <x:c r="C55" s="14"/>
      <x:c r="D55" s="14"/>
      <x:c r="E55" s="25"/>
      <x:c r="F55" s="14"/>
      <x:c r="G55" s="14"/>
      <x:c r="H55" s="14"/>
      <x:c r="I55" s="14"/>
      <x:c r="J55" s="14"/>
      <x:c r="K55" s="14"/>
      <x:c r="L55" s="14"/>
      <x:c r="M55" s="14"/>
      <x:c r="N55" s="14"/>
      <x:c r="O55" s="25"/>
      <x:c r="P55" s="14"/>
    </x:row>
    <x:row r="56">
      <x:c r="A56" s="14"/>
      <x:c r="B56" s="14"/>
      <x:c r="C56" s="14"/>
      <x:c r="D56" s="14"/>
      <x:c r="E56" s="25"/>
      <x:c r="F56" s="14"/>
      <x:c r="G56" s="14"/>
      <x:c r="H56" s="14"/>
      <x:c r="I56" s="14"/>
      <x:c r="J56" s="14"/>
      <x:c r="K56" s="14"/>
      <x:c r="L56" s="14"/>
      <x:c r="M56" s="14"/>
      <x:c r="N56" s="14"/>
      <x:c r="O56" s="25"/>
      <x:c r="P56" s="14"/>
    </x:row>
    <x:row r="57">
      <x:c r="A57" s="14"/>
      <x:c r="B57" s="14"/>
      <x:c r="C57" s="14"/>
      <x:c r="D57" s="14"/>
      <x:c r="E57" s="25"/>
      <x:c r="F57" s="14"/>
      <x:c r="G57" s="14"/>
      <x:c r="H57" s="14"/>
      <x:c r="I57" s="14"/>
      <x:c r="J57" s="14"/>
      <x:c r="K57" s="14"/>
      <x:c r="L57" s="14"/>
      <x:c r="M57" s="14"/>
      <x:c r="N57" s="14"/>
      <x:c r="O57" s="25"/>
      <x:c r="P57" s="14"/>
    </x:row>
    <x:row r="58">
      <x:c r="A58" s="14"/>
      <x:c r="B58" s="14"/>
      <x:c r="C58" s="14"/>
      <x:c r="D58" s="14"/>
      <x:c r="E58" s="25"/>
      <x:c r="F58" s="14"/>
      <x:c r="G58" s="14"/>
      <x:c r="H58" s="14"/>
      <x:c r="I58" s="14"/>
      <x:c r="J58" s="14"/>
      <x:c r="K58" s="14"/>
      <x:c r="L58" s="14"/>
      <x:c r="M58" s="14"/>
      <x:c r="N58" s="14"/>
      <x:c r="O58" s="25"/>
      <x:c r="P58" s="14"/>
    </x:row>
    <x:row r="59">
      <x:c r="A59" s="14"/>
      <x:c r="B59" s="14"/>
      <x:c r="C59" s="14"/>
      <x:c r="D59" s="14"/>
      <x:c r="E59" s="25"/>
      <x:c r="F59" s="14"/>
      <x:c r="G59" s="14"/>
      <x:c r="H59" s="14"/>
      <x:c r="I59" s="14"/>
      <x:c r="J59" s="14"/>
      <x:c r="K59" s="14"/>
      <x:c r="L59" s="14"/>
      <x:c r="M59" s="14"/>
      <x:c r="N59" s="14"/>
      <x:c r="O59" s="25"/>
      <x:c r="P59" s="14"/>
    </x:row>
    <x:row r="60">
      <x:c r="A60" s="14"/>
      <x:c r="B60" s="14"/>
      <x:c r="C60" s="14"/>
      <x:c r="D60" s="14"/>
      <x:c r="E60" s="25"/>
      <x:c r="F60" s="14"/>
      <x:c r="G60" s="14"/>
      <x:c r="H60" s="14"/>
      <x:c r="I60" s="14"/>
      <x:c r="J60" s="14"/>
      <x:c r="K60" s="14"/>
      <x:c r="L60" s="14"/>
      <x:c r="M60" s="14"/>
      <x:c r="N60" s="14"/>
      <x:c r="O60" s="25"/>
      <x:c r="P60" s="14"/>
    </x:row>
    <x:row r="61">
      <x:c r="A61" s="14"/>
      <x:c r="B61" s="14"/>
      <x:c r="C61" s="14"/>
      <x:c r="D61" s="14"/>
      <x:c r="E61" s="25"/>
      <x:c r="F61" s="14"/>
      <x:c r="G61" s="14"/>
      <x:c r="H61" s="14"/>
      <x:c r="I61" s="14"/>
      <x:c r="J61" s="14"/>
      <x:c r="K61" s="14"/>
      <x:c r="L61" s="14"/>
      <x:c r="M61" s="14"/>
      <x:c r="N61" s="14"/>
      <x:c r="O61" s="25"/>
      <x:c r="P61" s="14"/>
    </x:row>
    <x:row r="62">
      <x:c r="A62" s="14"/>
      <x:c r="B62" s="14"/>
      <x:c r="C62" s="14"/>
      <x:c r="D62" s="14"/>
      <x:c r="E62" s="25"/>
      <x:c r="F62" s="14"/>
      <x:c r="G62" s="14"/>
      <x:c r="H62" s="14"/>
      <x:c r="I62" s="14"/>
      <x:c r="J62" s="14"/>
      <x:c r="K62" s="14"/>
      <x:c r="L62" s="14"/>
      <x:c r="M62" s="14"/>
      <x:c r="N62" s="14"/>
      <x:c r="O62" s="25"/>
      <x:c r="P62" s="14"/>
    </x:row>
    <x:row r="63">
      <x:c r="A63" s="14"/>
      <x:c r="B63" s="14"/>
      <x:c r="C63" s="14"/>
      <x:c r="D63" s="14"/>
      <x:c r="E63" s="25"/>
      <x:c r="F63" s="14"/>
      <x:c r="G63" s="14"/>
      <x:c r="H63" s="14"/>
      <x:c r="I63" s="14"/>
      <x:c r="J63" s="14"/>
      <x:c r="K63" s="14"/>
      <x:c r="L63" s="14"/>
      <x:c r="M63" s="14"/>
      <x:c r="N63" s="14"/>
      <x:c r="O63" s="25"/>
      <x:c r="P63" s="14"/>
    </x:row>
    <x:row r="64">
      <x:c r="A64" s="14"/>
      <x:c r="B64" s="14"/>
      <x:c r="C64" s="14"/>
      <x:c r="D64" s="14"/>
      <x:c r="E64" s="25"/>
      <x:c r="F64" s="14"/>
      <x:c r="G64" s="14"/>
      <x:c r="H64" s="14"/>
      <x:c r="I64" s="14"/>
      <x:c r="J64" s="14"/>
      <x:c r="K64" s="14"/>
      <x:c r="L64" s="14"/>
      <x:c r="M64" s="14"/>
      <x:c r="N64" s="14"/>
      <x:c r="O64" s="25"/>
      <x:c r="P64" s="14"/>
    </x:row>
    <x:row r="65">
      <x:c r="A65" s="14"/>
      <x:c r="B65" s="14"/>
      <x:c r="C65" s="14"/>
      <x:c r="D65" s="14"/>
      <x:c r="E65" s="25"/>
      <x:c r="F65" s="14"/>
      <x:c r="G65" s="14"/>
      <x:c r="H65" s="14"/>
      <x:c r="I65" s="14"/>
      <x:c r="J65" s="14"/>
      <x:c r="K65" s="14"/>
      <x:c r="L65" s="14"/>
      <x:c r="M65" s="14"/>
      <x:c r="N65" s="14"/>
      <x:c r="O65" s="25"/>
      <x:c r="P65" s="14"/>
    </x:row>
    <x:row r="66">
      <x:c r="A66" s="14"/>
      <x:c r="B66" s="14"/>
      <x:c r="C66" s="14"/>
      <x:c r="D66" s="14"/>
      <x:c r="E66" s="25"/>
      <x:c r="F66" s="14"/>
      <x:c r="G66" s="14"/>
      <x:c r="H66" s="14"/>
      <x:c r="I66" s="14"/>
      <x:c r="J66" s="14"/>
      <x:c r="K66" s="14"/>
      <x:c r="L66" s="14"/>
      <x:c r="M66" s="14"/>
      <x:c r="N66" s="14"/>
      <x:c r="O66" s="25"/>
      <x:c r="P66" s="14"/>
    </x:row>
    <x:row r="67">
      <x:c r="A67" s="14"/>
      <x:c r="B67" s="14"/>
      <x:c r="C67" s="14"/>
      <x:c r="D67" s="14"/>
      <x:c r="E67" s="25"/>
      <x:c r="F67" s="14"/>
      <x:c r="G67" s="14"/>
      <x:c r="H67" s="14"/>
      <x:c r="I67" s="14"/>
      <x:c r="J67" s="14"/>
      <x:c r="K67" s="14"/>
      <x:c r="L67" s="14"/>
      <x:c r="M67" s="14"/>
      <x:c r="N67" s="14"/>
      <x:c r="O67" s="25"/>
      <x:c r="P67" s="14"/>
    </x:row>
    <x:row r="68">
      <x:c r="A68" s="14"/>
      <x:c r="B68" s="14"/>
      <x:c r="C68" s="14"/>
      <x:c r="D68" s="14"/>
      <x:c r="E68" s="25"/>
      <x:c r="F68" s="14"/>
      <x:c r="G68" s="14"/>
      <x:c r="H68" s="14"/>
      <x:c r="I68" s="14"/>
      <x:c r="J68" s="14"/>
      <x:c r="K68" s="14"/>
      <x:c r="L68" s="14"/>
      <x:c r="M68" s="14"/>
      <x:c r="N68" s="14"/>
      <x:c r="O68" s="25"/>
      <x:c r="P68" s="14"/>
    </x:row>
    <x:row r="69">
      <x:c r="A69" s="14"/>
      <x:c r="B69" s="14"/>
      <x:c r="C69" s="14"/>
      <x:c r="D69" s="14"/>
      <x:c r="E69" s="25"/>
      <x:c r="F69" s="14"/>
      <x:c r="G69" s="14"/>
      <x:c r="H69" s="14"/>
      <x:c r="I69" s="14"/>
      <x:c r="J69" s="14"/>
      <x:c r="K69" s="14"/>
      <x:c r="L69" s="14"/>
      <x:c r="M69" s="14"/>
      <x:c r="N69" s="14"/>
      <x:c r="O69" s="25"/>
      <x:c r="P69" s="14"/>
    </x:row>
    <x:row r="70">
      <x:c r="A70" s="14"/>
      <x:c r="B70" s="14"/>
      <x:c r="C70" s="14"/>
      <x:c r="D70" s="14"/>
      <x:c r="E70" s="25"/>
      <x:c r="F70" s="14"/>
      <x:c r="G70" s="14"/>
      <x:c r="H70" s="14"/>
      <x:c r="I70" s="14"/>
      <x:c r="J70" s="14"/>
      <x:c r="K70" s="14"/>
      <x:c r="L70" s="14"/>
      <x:c r="M70" s="14"/>
      <x:c r="N70" s="14"/>
      <x:c r="O70" s="25"/>
      <x:c r="P70" s="14"/>
    </x:row>
    <x:row r="71">
      <x:c r="A71" s="14"/>
      <x:c r="B71" s="14"/>
      <x:c r="C71" s="14"/>
      <x:c r="D71" s="14"/>
      <x:c r="E71" s="25"/>
      <x:c r="F71" s="14"/>
      <x:c r="G71" s="14"/>
      <x:c r="H71" s="14"/>
      <x:c r="I71" s="14"/>
      <x:c r="J71" s="14"/>
      <x:c r="K71" s="14"/>
      <x:c r="L71" s="14"/>
      <x:c r="M71" s="14"/>
      <x:c r="N71" s="14"/>
      <x:c r="O71" s="25"/>
      <x:c r="P71" s="14"/>
    </x:row>
    <x:row r="72">
      <x:c r="A72" s="14"/>
      <x:c r="B72" s="14"/>
      <x:c r="C72" s="14"/>
      <x:c r="D72" s="14"/>
      <x:c r="E72" s="25"/>
      <x:c r="F72" s="14"/>
      <x:c r="G72" s="14"/>
      <x:c r="H72" s="14"/>
      <x:c r="I72" s="14"/>
      <x:c r="J72" s="14"/>
      <x:c r="K72" s="14"/>
      <x:c r="L72" s="14"/>
      <x:c r="M72" s="14"/>
      <x:c r="N72" s="14"/>
      <x:c r="O72" s="25"/>
      <x:c r="P72" s="14"/>
    </x:row>
    <x:row r="73">
      <x:c r="A73" s="14"/>
      <x:c r="B73" s="14"/>
      <x:c r="C73" s="14"/>
      <x:c r="D73" s="14"/>
      <x:c r="E73" s="25"/>
      <x:c r="F73" s="14"/>
      <x:c r="G73" s="14"/>
      <x:c r="H73" s="14"/>
      <x:c r="I73" s="14"/>
      <x:c r="J73" s="14"/>
      <x:c r="K73" s="14"/>
      <x:c r="L73" s="14"/>
      <x:c r="M73" s="14"/>
      <x:c r="N73" s="14"/>
      <x:c r="O73" s="25"/>
      <x:c r="P73" s="14"/>
    </x:row>
    <x:row r="74">
      <x:c r="A74" s="14"/>
      <x:c r="B74" s="14"/>
      <x:c r="C74" s="14"/>
      <x:c r="D74" s="14"/>
      <x:c r="E74" s="25"/>
      <x:c r="F74" s="14"/>
      <x:c r="G74" s="14"/>
      <x:c r="H74" s="14"/>
      <x:c r="I74" s="14"/>
      <x:c r="J74" s="14"/>
      <x:c r="K74" s="14"/>
      <x:c r="L74" s="14"/>
      <x:c r="M74" s="14"/>
      <x:c r="N74" s="14"/>
      <x:c r="O74" s="25"/>
      <x:c r="P74" s="14"/>
    </x:row>
    <x:row r="75">
      <x:c r="A75" s="14"/>
      <x:c r="B75" s="14"/>
      <x:c r="C75" s="14"/>
      <x:c r="D75" s="14"/>
      <x:c r="E75" s="25"/>
      <x:c r="F75" s="14"/>
      <x:c r="G75" s="14"/>
      <x:c r="H75" s="14"/>
      <x:c r="I75" s="14"/>
      <x:c r="J75" s="14"/>
      <x:c r="K75" s="14"/>
      <x:c r="L75" s="14"/>
      <x:c r="M75" s="14"/>
      <x:c r="N75" s="14"/>
      <x:c r="O75" s="25"/>
      <x:c r="P75" s="14"/>
    </x:row>
    <x:row r="76">
      <x:c r="A76" s="14"/>
      <x:c r="B76" s="14"/>
      <x:c r="C76" s="14"/>
      <x:c r="D76" s="14"/>
      <x:c r="E76" s="25"/>
      <x:c r="F76" s="14"/>
      <x:c r="G76" s="14"/>
      <x:c r="H76" s="14"/>
      <x:c r="I76" s="14"/>
      <x:c r="J76" s="14"/>
      <x:c r="K76" s="14"/>
      <x:c r="L76" s="14"/>
      <x:c r="M76" s="14"/>
      <x:c r="N76" s="14"/>
      <x:c r="O76" s="25"/>
      <x:c r="P76" s="14"/>
    </x:row>
    <x:row r="77">
      <x:c r="A77" s="14"/>
      <x:c r="B77" s="14"/>
      <x:c r="C77" s="14"/>
      <x:c r="D77" s="14"/>
      <x:c r="E77" s="25"/>
      <x:c r="F77" s="14"/>
      <x:c r="G77" s="14"/>
      <x:c r="H77" s="14"/>
      <x:c r="I77" s="14"/>
      <x:c r="J77" s="14"/>
      <x:c r="K77" s="14"/>
      <x:c r="L77" s="14"/>
      <x:c r="M77" s="14"/>
      <x:c r="N77" s="14"/>
      <x:c r="O77" s="25"/>
      <x:c r="P77" s="14"/>
    </x:row>
    <x:row r="78">
      <x:c r="A78" s="14"/>
      <x:c r="B78" s="14"/>
      <x:c r="C78" s="14"/>
      <x:c r="D78" s="14"/>
      <x:c r="E78" s="25"/>
      <x:c r="F78" s="14"/>
      <x:c r="G78" s="14"/>
      <x:c r="H78" s="14"/>
      <x:c r="I78" s="14"/>
      <x:c r="J78" s="14"/>
      <x:c r="K78" s="14"/>
      <x:c r="L78" s="14"/>
      <x:c r="M78" s="14"/>
      <x:c r="N78" s="14"/>
      <x:c r="O78" s="25"/>
      <x:c r="P78" s="14"/>
    </x:row>
    <x:row r="79">
      <x:c r="A79" s="14"/>
      <x:c r="B79" s="14"/>
      <x:c r="C79" s="14"/>
      <x:c r="D79" s="14"/>
      <x:c r="E79" s="25"/>
      <x:c r="F79" s="14"/>
      <x:c r="G79" s="14"/>
      <x:c r="H79" s="14"/>
      <x:c r="I79" s="14"/>
      <x:c r="J79" s="14"/>
      <x:c r="K79" s="14"/>
      <x:c r="L79" s="14"/>
      <x:c r="M79" s="14"/>
      <x:c r="N79" s="14"/>
      <x:c r="O79" s="25"/>
      <x:c r="P79" s="14"/>
    </x:row>
    <x:row r="80">
      <x:c r="A80" s="14"/>
      <x:c r="B80" s="14"/>
      <x:c r="C80" s="14"/>
      <x:c r="D80" s="14"/>
      <x:c r="E80" s="25"/>
      <x:c r="F80" s="14"/>
      <x:c r="G80" s="14"/>
      <x:c r="H80" s="14"/>
      <x:c r="I80" s="14"/>
      <x:c r="J80" s="14"/>
      <x:c r="K80" s="14"/>
      <x:c r="L80" s="14"/>
      <x:c r="M80" s="14"/>
      <x:c r="N80" s="14"/>
      <x:c r="O80" s="25"/>
      <x:c r="P80" s="14"/>
    </x:row>
    <x:row r="81">
      <x:c r="A81" s="14"/>
      <x:c r="B81" s="14"/>
      <x:c r="C81" s="14"/>
      <x:c r="D81" s="14"/>
      <x:c r="E81" s="25"/>
      <x:c r="F81" s="14"/>
      <x:c r="G81" s="14"/>
      <x:c r="H81" s="14"/>
      <x:c r="I81" s="14"/>
      <x:c r="J81" s="14"/>
      <x:c r="K81" s="14"/>
      <x:c r="L81" s="14"/>
      <x:c r="M81" s="14"/>
      <x:c r="N81" s="14"/>
      <x:c r="O81" s="25"/>
      <x:c r="P81" s="14"/>
    </x:row>
    <x:row r="82">
      <x:c r="A82" s="14"/>
      <x:c r="B82" s="14"/>
      <x:c r="C82" s="14"/>
      <x:c r="D82" s="14"/>
      <x:c r="E82" s="25"/>
      <x:c r="F82" s="14"/>
      <x:c r="G82" s="14"/>
      <x:c r="H82" s="14"/>
      <x:c r="I82" s="14"/>
      <x:c r="J82" s="14"/>
      <x:c r="K82" s="14"/>
      <x:c r="L82" s="14"/>
      <x:c r="M82" s="14"/>
      <x:c r="N82" s="14"/>
      <x:c r="O82" s="25"/>
      <x:c r="P82" s="14"/>
    </x:row>
    <x:row r="83">
      <x:c r="A83" s="14"/>
      <x:c r="B83" s="14"/>
      <x:c r="C83" s="14"/>
      <x:c r="D83" s="14"/>
      <x:c r="E83" s="25"/>
      <x:c r="F83" s="14"/>
      <x:c r="G83" s="14"/>
      <x:c r="H83" s="14"/>
      <x:c r="I83" s="14"/>
      <x:c r="J83" s="14"/>
      <x:c r="K83" s="14"/>
      <x:c r="L83" s="14"/>
      <x:c r="M83" s="14"/>
      <x:c r="N83" s="14"/>
      <x:c r="O83" s="25"/>
      <x:c r="P83" s="14"/>
    </x:row>
    <x:row r="84">
      <x:c r="A84" s="14"/>
      <x:c r="B84" s="14"/>
      <x:c r="C84" s="14"/>
      <x:c r="D84" s="14"/>
      <x:c r="E84" s="25"/>
      <x:c r="F84" s="14"/>
      <x:c r="G84" s="14"/>
      <x:c r="H84" s="14"/>
      <x:c r="I84" s="14"/>
      <x:c r="J84" s="14"/>
      <x:c r="K84" s="14"/>
      <x:c r="L84" s="14"/>
      <x:c r="M84" s="14"/>
      <x:c r="N84" s="14"/>
      <x:c r="O84" s="25"/>
      <x:c r="P84" s="14"/>
    </x:row>
    <x:row r="85">
      <x:c r="A85" s="14"/>
      <x:c r="B85" s="14"/>
      <x:c r="C85" s="14"/>
      <x:c r="D85" s="14"/>
      <x:c r="E85" s="25"/>
      <x:c r="F85" s="14"/>
      <x:c r="G85" s="14"/>
      <x:c r="H85" s="14"/>
      <x:c r="I85" s="14"/>
      <x:c r="J85" s="14"/>
      <x:c r="K85" s="14"/>
      <x:c r="L85" s="14"/>
      <x:c r="M85" s="14"/>
      <x:c r="N85" s="14"/>
      <x:c r="O85" s="25"/>
      <x:c r="P85" s="14"/>
    </x:row>
    <x:row r="86">
      <x:c r="A86" s="14"/>
      <x:c r="B86" s="14"/>
      <x:c r="C86" s="14"/>
      <x:c r="D86" s="14"/>
      <x:c r="E86" s="25"/>
      <x:c r="F86" s="14"/>
      <x:c r="G86" s="14"/>
      <x:c r="H86" s="14"/>
      <x:c r="I86" s="14"/>
      <x:c r="J86" s="14"/>
      <x:c r="K86" s="14"/>
      <x:c r="L86" s="14"/>
      <x:c r="M86" s="14"/>
      <x:c r="N86" s="14"/>
      <x:c r="O86" s="25"/>
      <x:c r="P86" s="14"/>
    </x:row>
    <x:row r="87">
      <x:c r="A87" s="14"/>
      <x:c r="B87" s="14"/>
      <x:c r="C87" s="14"/>
      <x:c r="D87" s="14"/>
      <x:c r="E87" s="25"/>
      <x:c r="F87" s="14"/>
      <x:c r="G87" s="14"/>
      <x:c r="H87" s="14"/>
      <x:c r="I87" s="14"/>
      <x:c r="J87" s="14"/>
      <x:c r="K87" s="14"/>
      <x:c r="L87" s="14"/>
      <x:c r="M87" s="14"/>
      <x:c r="N87" s="14"/>
      <x:c r="O87" s="25"/>
      <x:c r="P87" s="14"/>
    </x:row>
    <x:row r="88">
      <x:c r="A88" s="14"/>
      <x:c r="B88" s="14"/>
      <x:c r="C88" s="14"/>
      <x:c r="D88" s="14"/>
      <x:c r="E88" s="25"/>
      <x:c r="F88" s="14"/>
      <x:c r="G88" s="14"/>
      <x:c r="H88" s="14"/>
      <x:c r="I88" s="14"/>
      <x:c r="J88" s="14"/>
      <x:c r="K88" s="14"/>
      <x:c r="L88" s="14"/>
      <x:c r="M88" s="14"/>
      <x:c r="N88" s="14"/>
      <x:c r="O88" s="25"/>
      <x:c r="P88" s="14"/>
    </x:row>
    <x:row r="89">
      <x:c r="A89" s="14"/>
      <x:c r="B89" s="14"/>
      <x:c r="C89" s="14"/>
      <x:c r="D89" s="14"/>
      <x:c r="E89" s="25"/>
      <x:c r="F89" s="14"/>
      <x:c r="G89" s="14"/>
      <x:c r="H89" s="14"/>
      <x:c r="I89" s="14"/>
      <x:c r="J89" s="14"/>
      <x:c r="K89" s="14"/>
      <x:c r="L89" s="14"/>
      <x:c r="M89" s="14"/>
      <x:c r="N89" s="14"/>
      <x:c r="O89" s="25"/>
      <x:c r="P89" s="14"/>
    </x:row>
    <x:row r="90">
      <x:c r="A90" s="14"/>
      <x:c r="B90" s="14"/>
      <x:c r="C90" s="14"/>
      <x:c r="D90" s="14"/>
      <x:c r="E90" s="25"/>
      <x:c r="F90" s="14"/>
      <x:c r="G90" s="14"/>
      <x:c r="H90" s="14"/>
      <x:c r="I90" s="14"/>
      <x:c r="J90" s="14"/>
      <x:c r="K90" s="14"/>
      <x:c r="L90" s="14"/>
      <x:c r="M90" s="14"/>
      <x:c r="N90" s="14"/>
      <x:c r="O90" s="25"/>
      <x:c r="P90" s="14"/>
    </x:row>
    <x:row r="91">
      <x:c r="A91" s="14"/>
      <x:c r="B91" s="14"/>
      <x:c r="C91" s="14"/>
      <x:c r="D91" s="14"/>
      <x:c r="E91" s="25"/>
      <x:c r="F91" s="14"/>
      <x:c r="G91" s="14"/>
      <x:c r="H91" s="14"/>
      <x:c r="I91" s="14"/>
      <x:c r="J91" s="14"/>
      <x:c r="K91" s="14"/>
      <x:c r="L91" s="14"/>
      <x:c r="M91" s="14"/>
      <x:c r="N91" s="14"/>
      <x:c r="O91" s="25"/>
      <x:c r="P91" s="14"/>
    </x:row>
    <x:row r="92">
      <x:c r="A92" s="14"/>
      <x:c r="B92" s="14"/>
      <x:c r="C92" s="14"/>
      <x:c r="D92" s="14"/>
      <x:c r="E92" s="25"/>
      <x:c r="F92" s="14"/>
      <x:c r="G92" s="14"/>
      <x:c r="H92" s="14"/>
      <x:c r="I92" s="14"/>
      <x:c r="J92" s="14"/>
      <x:c r="K92" s="14"/>
      <x:c r="L92" s="14"/>
      <x:c r="M92" s="14"/>
      <x:c r="N92" s="14"/>
      <x:c r="O92" s="25"/>
      <x:c r="P92" s="14"/>
    </x:row>
    <x:row r="93">
      <x:c r="A93" s="14"/>
      <x:c r="B93" s="14"/>
      <x:c r="C93" s="14"/>
      <x:c r="D93" s="14"/>
      <x:c r="E93" s="25"/>
      <x:c r="F93" s="14"/>
      <x:c r="G93" s="14"/>
      <x:c r="H93" s="14"/>
      <x:c r="I93" s="14"/>
      <x:c r="J93" s="14"/>
      <x:c r="K93" s="14"/>
      <x:c r="L93" s="14"/>
      <x:c r="M93" s="14"/>
      <x:c r="N93" s="14"/>
      <x:c r="O93" s="25"/>
      <x:c r="P93" s="14"/>
    </x:row>
    <x:row r="94">
      <x:c r="A94" s="14"/>
      <x:c r="B94" s="14"/>
      <x:c r="C94" s="14"/>
      <x:c r="D94" s="14"/>
      <x:c r="E94" s="25"/>
      <x:c r="F94" s="14"/>
      <x:c r="G94" s="14"/>
      <x:c r="H94" s="14"/>
      <x:c r="I94" s="14"/>
      <x:c r="J94" s="14"/>
      <x:c r="K94" s="14"/>
      <x:c r="L94" s="14"/>
      <x:c r="M94" s="14"/>
      <x:c r="N94" s="14"/>
      <x:c r="O94" s="25"/>
      <x:c r="P94" s="14"/>
    </x:row>
    <x:row r="95">
      <x:c r="A95" s="14"/>
      <x:c r="B95" s="14"/>
      <x:c r="C95" s="14"/>
      <x:c r="D95" s="14"/>
      <x:c r="E95" s="25"/>
      <x:c r="F95" s="14"/>
      <x:c r="G95" s="14"/>
      <x:c r="H95" s="14"/>
      <x:c r="I95" s="14"/>
      <x:c r="J95" s="14"/>
      <x:c r="K95" s="14"/>
      <x:c r="L95" s="14"/>
      <x:c r="M95" s="14"/>
      <x:c r="N95" s="14"/>
      <x:c r="O95" s="25"/>
      <x:c r="P95" s="14"/>
    </x:row>
    <x:row r="96">
      <x:c r="A96" s="14"/>
      <x:c r="B96" s="14"/>
      <x:c r="C96" s="14"/>
      <x:c r="D96" s="14"/>
      <x:c r="E96" s="25"/>
      <x:c r="F96" s="14"/>
      <x:c r="G96" s="14"/>
      <x:c r="H96" s="14"/>
      <x:c r="I96" s="14"/>
      <x:c r="J96" s="14"/>
      <x:c r="K96" s="14"/>
      <x:c r="L96" s="14"/>
      <x:c r="M96" s="14"/>
      <x:c r="N96" s="14"/>
      <x:c r="O96" s="25"/>
      <x:c r="P96" s="14"/>
    </x:row>
    <x:row r="97">
      <x:c r="A97" s="14"/>
      <x:c r="B97" s="14"/>
      <x:c r="C97" s="14"/>
      <x:c r="D97" s="14"/>
      <x:c r="E97" s="25"/>
      <x:c r="F97" s="14"/>
      <x:c r="G97" s="14"/>
      <x:c r="H97" s="14"/>
      <x:c r="I97" s="14"/>
      <x:c r="J97" s="14"/>
      <x:c r="K97" s="14"/>
      <x:c r="L97" s="14"/>
      <x:c r="M97" s="14"/>
      <x:c r="N97" s="14"/>
      <x:c r="O97" s="25"/>
      <x:c r="P97" s="14"/>
    </x:row>
    <x:row r="98">
      <x:c r="A98" s="14"/>
      <x:c r="B98" s="14"/>
      <x:c r="C98" s="14"/>
      <x:c r="D98" s="14"/>
      <x:c r="E98" s="25"/>
      <x:c r="F98" s="14"/>
      <x:c r="G98" s="14"/>
      <x:c r="H98" s="14"/>
      <x:c r="I98" s="14"/>
      <x:c r="J98" s="14"/>
      <x:c r="K98" s="14"/>
      <x:c r="L98" s="14"/>
      <x:c r="M98" s="14"/>
      <x:c r="N98" s="14"/>
      <x:c r="O98" s="25"/>
      <x:c r="P98" s="14"/>
    </x:row>
    <x:row r="99">
      <x:c r="A99" s="14"/>
      <x:c r="B99" s="14"/>
      <x:c r="C99" s="14"/>
      <x:c r="D99" s="14"/>
      <x:c r="E99" s="25"/>
      <x:c r="F99" s="14"/>
      <x:c r="G99" s="14"/>
      <x:c r="H99" s="14"/>
      <x:c r="I99" s="14"/>
      <x:c r="J99" s="14"/>
      <x:c r="K99" s="14"/>
      <x:c r="L99" s="14"/>
      <x:c r="M99" s="14"/>
      <x:c r="N99" s="14"/>
      <x:c r="O99" s="25"/>
      <x:c r="P99" s="14"/>
    </x:row>
    <x:row r="100">
      <x:c r="A100" s="14"/>
      <x:c r="B100" s="14"/>
      <x:c r="C100" s="14"/>
      <x:c r="D100" s="14"/>
      <x:c r="E100" s="25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25"/>
      <x:c r="P100" s="14"/>
    </x:row>
    <x:row r="101">
      <x:c r="A101" s="14"/>
      <x:c r="B101" s="14"/>
      <x:c r="C101" s="14"/>
      <x:c r="D101" s="14"/>
      <x:c r="E101" s="25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25"/>
      <x:c r="P101" s="14"/>
    </x:row>
    <x:row r="102">
      <x:c r="A102" s="14"/>
      <x:c r="B102" s="14"/>
      <x:c r="C102" s="14"/>
      <x:c r="D102" s="14"/>
      <x:c r="E102" s="25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25"/>
      <x:c r="P102" s="14"/>
    </x:row>
    <x:row r="103">
      <x:c r="A103" s="14"/>
      <x:c r="B103" s="14"/>
      <x:c r="C103" s="14"/>
      <x:c r="D103" s="14"/>
      <x:c r="E103" s="25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25"/>
      <x:c r="P103" s="14"/>
    </x:row>
    <x:row r="104">
      <x:c r="A104" s="14"/>
      <x:c r="B104" s="14"/>
      <x:c r="C104" s="14"/>
      <x:c r="D104" s="14"/>
      <x:c r="E104" s="25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25"/>
      <x:c r="P104" s="14"/>
    </x:row>
    <x:row r="105">
      <x:c r="A105" s="14"/>
      <x:c r="B105" s="14"/>
      <x:c r="C105" s="14"/>
      <x:c r="D105" s="14"/>
      <x:c r="E105" s="25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25"/>
      <x:c r="P105" s="14"/>
    </x:row>
    <x:row r="106">
      <x:c r="A106" s="14"/>
      <x:c r="B106" s="14"/>
      <x:c r="C106" s="14"/>
      <x:c r="D106" s="14"/>
      <x:c r="E106" s="25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25"/>
      <x:c r="P106" s="14"/>
    </x:row>
    <x:row r="107">
      <x:c r="A107" s="14"/>
      <x:c r="B107" s="14"/>
      <x:c r="C107" s="14"/>
      <x:c r="D107" s="14"/>
      <x:c r="E107" s="25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25"/>
      <x:c r="P107" s="14"/>
    </x:row>
    <x:row r="108">
      <x:c r="A108" s="14"/>
      <x:c r="B108" s="14"/>
      <x:c r="C108" s="14"/>
      <x:c r="D108" s="14"/>
      <x:c r="E108" s="25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25"/>
      <x:c r="P108" s="14"/>
    </x:row>
    <x:row r="109">
      <x:c r="A109" s="14"/>
      <x:c r="B109" s="14"/>
      <x:c r="C109" s="14"/>
      <x:c r="D109" s="14"/>
      <x:c r="E109" s="25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25"/>
      <x:c r="P109" s="14"/>
    </x:row>
    <x:row r="110">
      <x:c r="A110" s="14"/>
      <x:c r="B110" s="14"/>
      <x:c r="C110" s="14"/>
      <x:c r="D110" s="14"/>
      <x:c r="E110" s="25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25"/>
      <x:c r="P110" s="14"/>
    </x:row>
    <x:row r="111">
      <x:c r="A111" s="14"/>
      <x:c r="B111" s="14"/>
      <x:c r="C111" s="14"/>
      <x:c r="D111" s="14"/>
      <x:c r="E111" s="25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25"/>
      <x:c r="P111" s="14"/>
    </x:row>
    <x:row r="112">
      <x:c r="A112" s="14"/>
      <x:c r="B112" s="14"/>
      <x:c r="C112" s="14"/>
      <x:c r="D112" s="14"/>
      <x:c r="E112" s="25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25"/>
      <x:c r="P112" s="14"/>
    </x:row>
    <x:row r="113">
      <x:c r="A113" s="14"/>
      <x:c r="B113" s="14"/>
      <x:c r="C113" s="14"/>
      <x:c r="D113" s="14"/>
      <x:c r="E113" s="25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25"/>
      <x:c r="P113" s="14"/>
    </x:row>
    <x:row r="114">
      <x:c r="A114" s="14"/>
      <x:c r="B114" s="14"/>
      <x:c r="C114" s="14"/>
      <x:c r="D114" s="14"/>
      <x:c r="E114" s="25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25"/>
      <x:c r="P114" s="14"/>
    </x:row>
    <x:row r="115">
      <x:c r="A115" s="14"/>
      <x:c r="B115" s="14"/>
      <x:c r="C115" s="14"/>
      <x:c r="D115" s="14"/>
      <x:c r="E115" s="25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25"/>
      <x:c r="P115" s="14"/>
    </x:row>
    <x:row r="116">
      <x:c r="A116" s="14"/>
      <x:c r="B116" s="14"/>
      <x:c r="C116" s="14"/>
      <x:c r="D116" s="14"/>
      <x:c r="E116" s="25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25"/>
      <x:c r="P116" s="14"/>
    </x:row>
    <x:row r="117">
      <x:c r="A117" s="14"/>
      <x:c r="B117" s="14"/>
      <x:c r="C117" s="14"/>
      <x:c r="D117" s="14"/>
      <x:c r="E117" s="25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25"/>
      <x:c r="P117" s="14"/>
    </x:row>
    <x:row r="118">
      <x:c r="A118" s="14"/>
      <x:c r="B118" s="14"/>
      <x:c r="C118" s="14"/>
      <x:c r="D118" s="14"/>
      <x:c r="E118" s="25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25"/>
      <x:c r="P118" s="14"/>
    </x:row>
    <x:row r="119">
      <x:c r="A119" s="14"/>
      <x:c r="B119" s="14"/>
      <x:c r="C119" s="14"/>
      <x:c r="D119" s="14"/>
      <x:c r="E119" s="25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25"/>
      <x:c r="P119" s="14"/>
    </x:row>
    <x:row r="120">
      <x:c r="A120" s="14"/>
      <x:c r="B120" s="14"/>
      <x:c r="C120" s="14"/>
      <x:c r="D120" s="14"/>
      <x:c r="E120" s="25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25"/>
      <x:c r="P120" s="14"/>
    </x:row>
    <x:row r="121">
      <x:c r="A121" s="14"/>
      <x:c r="B121" s="14"/>
      <x:c r="C121" s="14"/>
      <x:c r="D121" s="14"/>
      <x:c r="E121" s="25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25"/>
      <x:c r="P121" s="14"/>
    </x:row>
    <x:row r="122">
      <x:c r="A122" s="14"/>
      <x:c r="B122" s="14"/>
      <x:c r="C122" s="14"/>
      <x:c r="D122" s="14"/>
      <x:c r="E122" s="25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25"/>
      <x:c r="P122" s="14"/>
    </x:row>
    <x:row r="123">
      <x:c r="A123" s="14"/>
      <x:c r="B123" s="14"/>
      <x:c r="C123" s="14"/>
      <x:c r="D123" s="14"/>
      <x:c r="E123" s="25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25"/>
      <x:c r="P123" s="14"/>
    </x:row>
    <x:row r="124">
      <x:c r="A124" s="14"/>
      <x:c r="B124" s="14"/>
      <x:c r="C124" s="14"/>
      <x:c r="D124" s="14"/>
      <x:c r="E124" s="25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25"/>
      <x:c r="P124" s="14"/>
    </x:row>
    <x:row r="125">
      <x:c r="A125" s="14"/>
      <x:c r="B125" s="14"/>
      <x:c r="C125" s="14"/>
      <x:c r="D125" s="14"/>
      <x:c r="E125" s="25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25"/>
      <x:c r="P125" s="14"/>
    </x:row>
    <x:row r="126">
      <x:c r="A126" s="14"/>
      <x:c r="B126" s="14"/>
      <x:c r="C126" s="14"/>
      <x:c r="D126" s="14"/>
      <x:c r="E126" s="25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25"/>
      <x:c r="P126" s="14"/>
    </x:row>
    <x:row r="127">
      <x:c r="A127" s="14"/>
      <x:c r="B127" s="14"/>
      <x:c r="C127" s="14"/>
      <x:c r="D127" s="14"/>
      <x:c r="E127" s="25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25"/>
      <x:c r="P127" s="14"/>
    </x:row>
    <x:row r="128">
      <x:c r="A128" s="14"/>
      <x:c r="B128" s="14"/>
      <x:c r="C128" s="14"/>
      <x:c r="D128" s="14"/>
      <x:c r="E128" s="25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25"/>
      <x:c r="P128" s="14"/>
    </x:row>
    <x:row r="129">
      <x:c r="A129" s="14"/>
      <x:c r="B129" s="14"/>
      <x:c r="C129" s="14"/>
      <x:c r="D129" s="14"/>
      <x:c r="E129" s="25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25"/>
      <x:c r="P129" s="14"/>
    </x:row>
    <x:row r="130">
      <x:c r="A130" s="14"/>
      <x:c r="B130" s="14"/>
      <x:c r="C130" s="14"/>
      <x:c r="D130" s="14"/>
      <x:c r="E130" s="25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25"/>
      <x:c r="P130" s="14"/>
    </x:row>
    <x:row r="131">
      <x:c r="A131" s="14"/>
      <x:c r="B131" s="14"/>
      <x:c r="C131" s="14"/>
      <x:c r="D131" s="14"/>
      <x:c r="E131" s="25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25"/>
      <x:c r="P131" s="14"/>
    </x:row>
    <x:row r="132">
      <x:c r="A132" s="14"/>
      <x:c r="B132" s="14"/>
      <x:c r="C132" s="14"/>
      <x:c r="D132" s="14"/>
      <x:c r="E132" s="25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25"/>
      <x:c r="P132" s="14"/>
    </x:row>
    <x:row r="133">
      <x:c r="A133" s="14"/>
      <x:c r="B133" s="14"/>
      <x:c r="C133" s="14"/>
      <x:c r="D133" s="14"/>
      <x:c r="E133" s="25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25"/>
      <x:c r="P133" s="14"/>
    </x:row>
    <x:row r="134">
      <x:c r="A134" s="14"/>
      <x:c r="B134" s="14"/>
      <x:c r="C134" s="14"/>
      <x:c r="D134" s="14"/>
      <x:c r="E134" s="25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25"/>
      <x:c r="P134" s="14"/>
    </x:row>
    <x:row r="135">
      <x:c r="A135" s="14"/>
      <x:c r="B135" s="14"/>
      <x:c r="C135" s="14"/>
      <x:c r="D135" s="14"/>
      <x:c r="E135" s="25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25"/>
      <x:c r="P135" s="14"/>
    </x:row>
    <x:row r="136">
      <x:c r="A136" s="14"/>
      <x:c r="B136" s="14"/>
      <x:c r="C136" s="14"/>
      <x:c r="D136" s="14"/>
      <x:c r="E136" s="25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25"/>
      <x:c r="P136" s="14"/>
    </x:row>
    <x:row r="137">
      <x:c r="A137" s="14"/>
      <x:c r="B137" s="14"/>
      <x:c r="C137" s="14"/>
      <x:c r="D137" s="14"/>
      <x:c r="E137" s="25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25"/>
      <x:c r="P137" s="14"/>
    </x:row>
    <x:row r="138">
      <x:c r="A138" s="14"/>
      <x:c r="B138" s="14"/>
      <x:c r="C138" s="14"/>
      <x:c r="D138" s="14"/>
      <x:c r="E138" s="25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25"/>
      <x:c r="P138" s="14"/>
    </x:row>
    <x:row r="139">
      <x:c r="A139" s="14"/>
      <x:c r="B139" s="14"/>
      <x:c r="C139" s="14"/>
      <x:c r="D139" s="14"/>
      <x:c r="E139" s="25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25"/>
      <x:c r="P139" s="14"/>
    </x:row>
    <x:row r="140">
      <x:c r="A140" s="14"/>
      <x:c r="B140" s="14"/>
      <x:c r="C140" s="14"/>
      <x:c r="D140" s="14"/>
      <x:c r="E140" s="25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25"/>
      <x:c r="P140" s="14"/>
    </x:row>
    <x:row r="141">
      <x:c r="A141" s="14"/>
      <x:c r="B141" s="14"/>
      <x:c r="C141" s="14"/>
      <x:c r="D141" s="14"/>
      <x:c r="E141" s="25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25"/>
      <x:c r="P141" s="14"/>
    </x:row>
    <x:row r="142">
      <x:c r="A142" s="14"/>
      <x:c r="B142" s="14"/>
      <x:c r="C142" s="14"/>
      <x:c r="D142" s="14"/>
      <x:c r="E142" s="25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25"/>
      <x:c r="P142" s="14"/>
    </x:row>
    <x:row r="143">
      <x:c r="A143" s="14"/>
      <x:c r="B143" s="14"/>
      <x:c r="C143" s="14"/>
      <x:c r="D143" s="14"/>
      <x:c r="E143" s="25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25"/>
      <x:c r="P143" s="14"/>
    </x:row>
    <x:row r="144">
      <x:c r="A144" s="14"/>
      <x:c r="B144" s="14"/>
      <x:c r="C144" s="14"/>
      <x:c r="D144" s="14"/>
      <x:c r="E144" s="25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25"/>
      <x:c r="P144" s="14"/>
    </x:row>
    <x:row r="145">
      <x:c r="A145" s="14"/>
      <x:c r="B145" s="14"/>
      <x:c r="C145" s="14"/>
      <x:c r="D145" s="14"/>
      <x:c r="E145" s="25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25"/>
      <x:c r="P145" s="14"/>
    </x:row>
    <x:row r="146">
      <x:c r="A146" s="14"/>
      <x:c r="B146" s="14"/>
      <x:c r="C146" s="14"/>
      <x:c r="D146" s="14"/>
      <x:c r="E146" s="25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25"/>
      <x:c r="P146" s="14"/>
    </x:row>
    <x:row r="147">
      <x:c r="A147" s="14"/>
      <x:c r="B147" s="14"/>
      <x:c r="C147" s="14"/>
      <x:c r="D147" s="14"/>
      <x:c r="E147" s="25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25"/>
      <x:c r="P147" s="14"/>
    </x:row>
    <x:row r="148">
      <x:c r="A148" s="14"/>
      <x:c r="B148" s="14"/>
      <x:c r="C148" s="14"/>
      <x:c r="D148" s="14"/>
      <x:c r="E148" s="25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25"/>
      <x:c r="P148" s="14"/>
    </x:row>
    <x:row r="149">
      <x:c r="A149" s="14"/>
      <x:c r="B149" s="14"/>
      <x:c r="C149" s="14"/>
      <x:c r="D149" s="14"/>
      <x:c r="E149" s="25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25"/>
      <x:c r="P149" s="14"/>
    </x:row>
    <x:row r="150">
      <x:c r="A150" s="14"/>
      <x:c r="B150" s="14"/>
      <x:c r="C150" s="14"/>
      <x:c r="D150" s="14"/>
      <x:c r="E150" s="25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25"/>
      <x:c r="P150" s="14"/>
    </x:row>
    <x:row r="151">
      <x:c r="A151" s="14"/>
      <x:c r="B151" s="14"/>
      <x:c r="C151" s="14"/>
      <x:c r="D151" s="14"/>
      <x:c r="E151" s="25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25"/>
      <x:c r="P151" s="14"/>
    </x:row>
    <x:row r="152">
      <x:c r="A152" s="14"/>
      <x:c r="B152" s="14"/>
      <x:c r="C152" s="14"/>
      <x:c r="D152" s="14"/>
      <x:c r="E152" s="25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25"/>
      <x:c r="P152" s="14"/>
    </x:row>
    <x:row r="153">
      <x:c r="A153" s="14"/>
      <x:c r="B153" s="14"/>
      <x:c r="C153" s="14"/>
      <x:c r="D153" s="14"/>
      <x:c r="E153" s="25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25"/>
      <x:c r="P153" s="14"/>
    </x:row>
    <x:row r="154">
      <x:c r="A154" s="14"/>
      <x:c r="B154" s="14"/>
      <x:c r="C154" s="14"/>
      <x:c r="D154" s="14"/>
      <x:c r="E154" s="25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25"/>
      <x:c r="P154" s="14"/>
    </x:row>
    <x:row r="155">
      <x:c r="A155" s="14"/>
      <x:c r="B155" s="14"/>
      <x:c r="C155" s="14"/>
      <x:c r="D155" s="14"/>
      <x:c r="E155" s="25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25"/>
      <x:c r="P155" s="14"/>
    </x:row>
    <x:row r="156">
      <x:c r="A156" s="14"/>
      <x:c r="B156" s="14"/>
      <x:c r="C156" s="14"/>
      <x:c r="D156" s="14"/>
      <x:c r="E156" s="25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25"/>
      <x:c r="P156" s="14"/>
    </x:row>
    <x:row r="157">
      <x:c r="A157" s="14"/>
      <x:c r="B157" s="14"/>
      <x:c r="C157" s="14"/>
      <x:c r="D157" s="14"/>
      <x:c r="E157" s="25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25"/>
      <x:c r="P157" s="14"/>
    </x:row>
    <x:row r="158">
      <x:c r="A158" s="14"/>
      <x:c r="B158" s="14"/>
      <x:c r="C158" s="14"/>
      <x:c r="D158" s="14"/>
      <x:c r="E158" s="25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25"/>
      <x:c r="P158" s="14"/>
    </x:row>
    <x:row r="159">
      <x:c r="A159" s="14"/>
      <x:c r="B159" s="14"/>
      <x:c r="C159" s="14"/>
      <x:c r="D159" s="14"/>
      <x:c r="E159" s="25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25"/>
      <x:c r="P159" s="14"/>
    </x:row>
    <x:row r="160">
      <x:c r="A160" s="14"/>
      <x:c r="B160" s="14"/>
      <x:c r="C160" s="14"/>
      <x:c r="D160" s="14"/>
      <x:c r="E160" s="25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25"/>
      <x:c r="P160" s="14"/>
    </x:row>
    <x:row r="161">
      <x:c r="A161" s="14"/>
      <x:c r="B161" s="14"/>
      <x:c r="C161" s="14"/>
      <x:c r="D161" s="14"/>
      <x:c r="E161" s="25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25"/>
      <x:c r="P161" s="14"/>
    </x:row>
    <x:row r="162">
      <x:c r="A162" s="14"/>
      <x:c r="B162" s="14"/>
      <x:c r="C162" s="14"/>
      <x:c r="D162" s="14"/>
      <x:c r="E162" s="25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25"/>
      <x:c r="P162" s="14"/>
    </x:row>
    <x:row r="163">
      <x:c r="A163" s="14"/>
      <x:c r="B163" s="14"/>
      <x:c r="C163" s="14"/>
      <x:c r="D163" s="14"/>
      <x:c r="E163" s="25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25"/>
      <x:c r="P163" s="14"/>
    </x:row>
    <x:row r="164">
      <x:c r="A164" s="14"/>
      <x:c r="B164" s="14"/>
      <x:c r="C164" s="14"/>
      <x:c r="D164" s="14"/>
      <x:c r="E164" s="25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25"/>
      <x:c r="P164" s="14"/>
    </x:row>
    <x:row r="165">
      <x:c r="A165" s="14"/>
      <x:c r="B165" s="14"/>
      <x:c r="C165" s="14"/>
      <x:c r="D165" s="14"/>
      <x:c r="E165" s="25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25"/>
      <x:c r="P165" s="14"/>
    </x:row>
    <x:row r="166">
      <x:c r="A166" s="14"/>
      <x:c r="B166" s="14"/>
      <x:c r="C166" s="14"/>
      <x:c r="D166" s="14"/>
      <x:c r="E166" s="25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25"/>
      <x:c r="P166" s="14"/>
    </x:row>
    <x:row r="167">
      <x:c r="A167" s="14"/>
      <x:c r="B167" s="14"/>
      <x:c r="C167" s="14"/>
      <x:c r="D167" s="14"/>
      <x:c r="E167" s="25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25"/>
      <x:c r="P167" s="14"/>
    </x:row>
    <x:row r="168">
      <x:c r="A168" s="14"/>
      <x:c r="B168" s="14"/>
      <x:c r="C168" s="14"/>
      <x:c r="D168" s="14"/>
      <x:c r="E168" s="25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25"/>
      <x:c r="P168" s="14"/>
    </x:row>
    <x:row r="169">
      <x:c r="A169" s="14"/>
      <x:c r="B169" s="14"/>
      <x:c r="C169" s="14"/>
      <x:c r="D169" s="14"/>
      <x:c r="E169" s="25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25"/>
      <x:c r="P169" s="14"/>
    </x:row>
    <x:row r="170">
      <x:c r="A170" s="14"/>
      <x:c r="B170" s="14"/>
      <x:c r="C170" s="14"/>
      <x:c r="D170" s="14"/>
      <x:c r="E170" s="25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25"/>
      <x:c r="P170" s="14"/>
    </x:row>
    <x:row r="171">
      <x:c r="A171" s="14"/>
      <x:c r="B171" s="14"/>
      <x:c r="C171" s="14"/>
      <x:c r="D171" s="14"/>
      <x:c r="E171" s="25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25"/>
      <x:c r="P171" s="14"/>
    </x:row>
    <x:row r="172">
      <x:c r="A172" s="14"/>
      <x:c r="B172" s="14"/>
      <x:c r="C172" s="14"/>
      <x:c r="D172" s="14"/>
      <x:c r="E172" s="25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25"/>
      <x:c r="P172" s="14"/>
    </x:row>
    <x:row r="173">
      <x:c r="A173" s="14"/>
      <x:c r="B173" s="14"/>
      <x:c r="C173" s="14"/>
      <x:c r="D173" s="14"/>
      <x:c r="E173" s="25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25"/>
      <x:c r="P173" s="14"/>
    </x:row>
    <x:row r="174">
      <x:c r="A174" s="14"/>
      <x:c r="B174" s="14"/>
      <x:c r="C174" s="14"/>
      <x:c r="D174" s="14"/>
      <x:c r="E174" s="25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25"/>
      <x:c r="P174" s="14"/>
    </x:row>
    <x:row r="175">
      <x:c r="A175" s="14"/>
      <x:c r="B175" s="14"/>
      <x:c r="C175" s="14"/>
      <x:c r="D175" s="14"/>
      <x:c r="E175" s="25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25"/>
      <x:c r="P175" s="14"/>
    </x:row>
    <x:row r="176">
      <x:c r="A176" s="14"/>
      <x:c r="B176" s="14"/>
      <x:c r="C176" s="14"/>
      <x:c r="D176" s="14"/>
      <x:c r="E176" s="25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25"/>
      <x:c r="P176" s="14"/>
    </x:row>
    <x:row r="177">
      <x:c r="A177" s="14"/>
      <x:c r="B177" s="14"/>
      <x:c r="C177" s="14"/>
      <x:c r="D177" s="14"/>
      <x:c r="E177" s="25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25"/>
      <x:c r="P177" s="14"/>
    </x:row>
    <x:row r="178">
      <x:c r="A178" s="14"/>
      <x:c r="B178" s="14"/>
      <x:c r="C178" s="14"/>
      <x:c r="D178" s="14"/>
      <x:c r="E178" s="25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25"/>
      <x:c r="P178" s="14"/>
    </x:row>
    <x:row r="179">
      <x:c r="A179" s="14"/>
      <x:c r="B179" s="14"/>
      <x:c r="C179" s="14"/>
      <x:c r="D179" s="14"/>
      <x:c r="E179" s="25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25"/>
      <x:c r="P179" s="14"/>
    </x:row>
    <x:row r="180">
      <x:c r="A180" s="14"/>
      <x:c r="B180" s="14"/>
      <x:c r="C180" s="14"/>
      <x:c r="D180" s="14"/>
      <x:c r="E180" s="25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25"/>
      <x:c r="P180" s="14"/>
    </x:row>
    <x:row r="181">
      <x:c r="A181" s="14"/>
      <x:c r="B181" s="14"/>
      <x:c r="C181" s="14"/>
      <x:c r="D181" s="14"/>
      <x:c r="E181" s="25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25"/>
      <x:c r="P181" s="14"/>
    </x:row>
    <x:row r="182">
      <x:c r="A182" s="14"/>
      <x:c r="B182" s="14"/>
      <x:c r="C182" s="14"/>
      <x:c r="D182" s="14"/>
      <x:c r="E182" s="25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25"/>
      <x:c r="P182" s="14"/>
    </x:row>
    <x:row r="183">
      <x:c r="A183" s="14"/>
      <x:c r="B183" s="14"/>
      <x:c r="C183" s="14"/>
      <x:c r="D183" s="14"/>
      <x:c r="E183" s="25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25"/>
      <x:c r="P183" s="14"/>
    </x:row>
    <x:row r="184">
      <x:c r="A184" s="14"/>
      <x:c r="B184" s="14"/>
      <x:c r="C184" s="14"/>
      <x:c r="D184" s="14"/>
      <x:c r="E184" s="25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25"/>
      <x:c r="P184" s="14"/>
    </x:row>
    <x:row r="185">
      <x:c r="A185" s="14"/>
      <x:c r="B185" s="14"/>
      <x:c r="C185" s="14"/>
      <x:c r="D185" s="14"/>
      <x:c r="E185" s="25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25"/>
      <x:c r="P185" s="14"/>
    </x:row>
    <x:row r="186">
      <x:c r="A186" s="14"/>
      <x:c r="B186" s="14"/>
      <x:c r="C186" s="14"/>
      <x:c r="D186" s="14"/>
      <x:c r="E186" s="25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25"/>
      <x:c r="P186" s="14"/>
    </x:row>
    <x:row r="187">
      <x:c r="A187" s="14"/>
      <x:c r="B187" s="14"/>
      <x:c r="C187" s="14"/>
      <x:c r="D187" s="14"/>
      <x:c r="E187" s="25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25"/>
      <x:c r="P187" s="14"/>
    </x:row>
    <x:row r="188">
      <x:c r="A188" s="14"/>
      <x:c r="B188" s="14"/>
      <x:c r="C188" s="14"/>
      <x:c r="D188" s="14"/>
      <x:c r="E188" s="25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25"/>
      <x:c r="P188" s="14"/>
    </x:row>
    <x:row r="189">
      <x:c r="A189" s="14"/>
      <x:c r="B189" s="14"/>
      <x:c r="C189" s="14"/>
      <x:c r="D189" s="14"/>
      <x:c r="E189" s="25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25"/>
      <x:c r="P189" s="14"/>
    </x:row>
    <x:row r="190">
      <x:c r="A190" s="14"/>
      <x:c r="B190" s="14"/>
      <x:c r="C190" s="14"/>
      <x:c r="D190" s="14"/>
      <x:c r="E190" s="25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25"/>
      <x:c r="P190" s="14"/>
    </x:row>
    <x:row r="191">
      <x:c r="A191" s="14"/>
      <x:c r="B191" s="14"/>
      <x:c r="C191" s="14"/>
      <x:c r="D191" s="14"/>
      <x:c r="E191" s="25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25"/>
      <x:c r="P191" s="14"/>
    </x:row>
    <x:row r="192">
      <x:c r="A192" s="14"/>
      <x:c r="B192" s="14"/>
      <x:c r="C192" s="14"/>
      <x:c r="D192" s="14"/>
      <x:c r="E192" s="25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25"/>
      <x:c r="P192" s="14"/>
    </x:row>
    <x:row r="193">
      <x:c r="A193" s="14"/>
      <x:c r="B193" s="14"/>
      <x:c r="C193" s="14"/>
      <x:c r="D193" s="14"/>
      <x:c r="E193" s="25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25"/>
      <x:c r="P193" s="14"/>
    </x:row>
    <x:row r="194">
      <x:c r="A194" s="14"/>
      <x:c r="B194" s="14"/>
      <x:c r="C194" s="14"/>
      <x:c r="D194" s="14"/>
      <x:c r="E194" s="25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25"/>
      <x:c r="P194" s="14"/>
    </x:row>
    <x:row r="195">
      <x:c r="A195" s="14"/>
      <x:c r="B195" s="14"/>
      <x:c r="C195" s="14"/>
      <x:c r="D195" s="14"/>
      <x:c r="E195" s="25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25"/>
      <x:c r="P195" s="14"/>
    </x:row>
    <x:row r="196">
      <x:c r="A196" s="14"/>
      <x:c r="B196" s="14"/>
      <x:c r="C196" s="14"/>
      <x:c r="D196" s="14"/>
      <x:c r="E196" s="25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25"/>
      <x:c r="P196" s="14"/>
    </x:row>
    <x:row r="197">
      <x:c r="A197" s="14"/>
      <x:c r="B197" s="14"/>
      <x:c r="C197" s="14"/>
      <x:c r="D197" s="14"/>
      <x:c r="E197" s="25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25"/>
      <x:c r="P197" s="14"/>
    </x:row>
    <x:row r="198">
      <x:c r="A198" s="14"/>
      <x:c r="B198" s="14"/>
      <x:c r="C198" s="14"/>
      <x:c r="D198" s="14"/>
      <x:c r="E198" s="25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25"/>
      <x:c r="P198" s="14"/>
    </x:row>
    <x:row r="199">
      <x:c r="A199" s="14"/>
      <x:c r="B199" s="14"/>
      <x:c r="C199" s="14"/>
      <x:c r="D199" s="14"/>
      <x:c r="E199" s="25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25"/>
      <x:c r="P199" s="14"/>
    </x:row>
    <x:row r="200">
      <x:c r="A200" s="14"/>
      <x:c r="B200" s="14"/>
      <x:c r="C200" s="14"/>
      <x:c r="D200" s="14"/>
      <x:c r="E200" s="25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25"/>
      <x:c r="P200" s="14"/>
    </x:row>
    <x:row r="201">
      <x:c r="A201" s="14"/>
      <x:c r="B201" s="14"/>
      <x:c r="C201" s="14"/>
      <x:c r="D201" s="14"/>
      <x:c r="E201" s="25"/>
      <x:c r="F201" s="14"/>
      <x:c r="G201" s="14"/>
      <x:c r="H201" s="14"/>
      <x:c r="I201" s="14"/>
      <x:c r="J201" s="14"/>
      <x:c r="K201" s="14"/>
      <x:c r="L201" s="14"/>
      <x:c r="M201" s="14"/>
      <x:c r="N201" s="14"/>
      <x:c r="O201" s="25"/>
      <x:c r="P201" s="14"/>
    </x:row>
    <x:row r="202">
      <x:c r="A202" s="14"/>
      <x:c r="B202" s="14"/>
      <x:c r="C202" s="14"/>
      <x:c r="D202" s="14"/>
      <x:c r="E202" s="25"/>
      <x:c r="F202" s="14"/>
      <x:c r="G202" s="14"/>
      <x:c r="H202" s="14"/>
      <x:c r="I202" s="14"/>
      <x:c r="J202" s="14"/>
      <x:c r="K202" s="14"/>
      <x:c r="L202" s="14"/>
      <x:c r="M202" s="14"/>
      <x:c r="N202" s="14"/>
      <x:c r="O202" s="25"/>
      <x:c r="P202" s="14"/>
    </x:row>
    <x:row r="203">
      <x:c r="A203" s="14"/>
      <x:c r="B203" s="14"/>
      <x:c r="C203" s="14"/>
      <x:c r="D203" s="14"/>
      <x:c r="E203" s="25"/>
      <x:c r="F203" s="14"/>
      <x:c r="G203" s="14"/>
      <x:c r="H203" s="14"/>
      <x:c r="I203" s="14"/>
      <x:c r="J203" s="14"/>
      <x:c r="K203" s="14"/>
      <x:c r="L203" s="14"/>
      <x:c r="M203" s="14"/>
      <x:c r="N203" s="14"/>
      <x:c r="O203" s="25"/>
      <x:c r="P203" s="14"/>
    </x:row>
    <x:row r="204">
      <x:c r="A204" s="14"/>
      <x:c r="B204" s="14"/>
      <x:c r="C204" s="14"/>
      <x:c r="D204" s="14"/>
      <x:c r="E204" s="25"/>
      <x:c r="F204" s="14"/>
      <x:c r="G204" s="14"/>
      <x:c r="H204" s="14"/>
      <x:c r="I204" s="14"/>
      <x:c r="J204" s="14"/>
      <x:c r="K204" s="14"/>
      <x:c r="L204" s="14"/>
      <x:c r="M204" s="14"/>
      <x:c r="N204" s="14"/>
      <x:c r="O204" s="25"/>
      <x:c r="P204" s="14"/>
    </x:row>
    <x:row r="205">
      <x:c r="A205" s="15"/>
      <x:c r="B205" s="15"/>
      <x:c r="C205" s="15"/>
      <x:c r="D205" s="15"/>
      <x:c r="E205" s="26"/>
      <x:c r="F205" s="15"/>
      <x:c r="G205" s="15"/>
      <x:c r="H205" s="15"/>
      <x:c r="I205" s="15"/>
      <x:c r="J205" s="15"/>
      <x:c r="K205" s="15"/>
      <x:c r="L205" s="15"/>
      <x:c r="M205" s="15"/>
      <x:c r="N205" s="15"/>
      <x:c r="O205" s="26"/>
      <x:c r="P205" s="15"/>
    </x:row>
  </x:sheetData>
  <x:mergeCells>
    <x:mergeCell ref="A1:P1"/>
    <x:mergeCell ref="A2:P2"/>
  </x:mergeCells>
  <x:dataValidations count="9">
    <x:dataValidation type="list" sqref="C5:C205">
      <x:formula1>"Not Started,Waiting for Documents,In Progress,Client Questions,Review,Complete,Blocked"</x:formula1>
    </x:dataValidation>
    <x:dataValidation type="list" sqref="F5:F205">
      <x:formula1>"Yes,No,N/A"</x:formula1>
    </x:dataValidation>
    <x:dataValidation type="list" sqref="G5:G205">
      <x:formula1>"Yes,No,N/A"</x:formula1>
    </x:dataValidation>
    <x:dataValidation type="list" sqref="H5:H205">
      <x:formula1>"Yes,No,N/A"</x:formula1>
    </x:dataValidation>
    <x:dataValidation type="list" sqref="I5:I205">
      <x:formula1>"Yes,No,N/A"</x:formula1>
    </x:dataValidation>
    <x:dataValidation type="list" sqref="J5:J205">
      <x:formula1>"Yes,No,N/A"</x:formula1>
    </x:dataValidation>
    <x:dataValidation type="list" sqref="K5:K205">
      <x:formula1>"Yes,No,N/A"</x:formula1>
    </x:dataValidation>
    <x:dataValidation type="list" sqref="L5:L205">
      <x:formula1>"Yes,No,N/A"</x:formula1>
    </x:dataValidation>
    <x:dataValidation type="list" sqref="M5:M205">
      <x:formula1>"Yes,No,N/A"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409489bf397408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3" hidden="0" customWidth="1"/>
    <x:col min="3" max="3" width="15" hidden="0" customWidth="1"/>
    <x:col min="4" max="4" width="13" hidden="0" customWidth="1"/>
    <x:col min="5" max="5" width="13" hidden="0" customWidth="1"/>
    <x:col min="6" max="6" width="14" hidden="0" customWidth="1"/>
    <x:col min="7" max="7" width="13" hidden="0" customWidth="1"/>
    <x:col min="8" max="8" width="13" hidden="0" customWidth="1"/>
    <x:col min="9" max="9" width="14" hidden="0" customWidth="1"/>
    <x:col min="10" max="10" width="25" hidden="0" customWidth="1"/>
    <x:col min="11" max="11" width="32" hidden="0" customWidth="1"/>
  </x:cols>
  <x:sheetData>
    <x:row r="1" ht="34" customHeight="1">
      <x:c r="A1" s="2" t="str">
        <x:v>Invoice Tracker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4" t="str">
        <x:v>Track recurring billing, collections, and overdue balances.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4">
      <x:c r="A4" s="8" t="str">
        <x:v>Invoice</x:v>
      </x:c>
      <x:c r="B4" s="8" t="str">
        <x:v>Client</x:v>
      </x:c>
      <x:c r="C4" s="8" t="str">
        <x:v>Service Period</x:v>
      </x:c>
      <x:c r="D4" s="8" t="str">
        <x:v>Issue Date</x:v>
      </x:c>
      <x:c r="E4" s="8" t="str">
        <x:v>Due Date</x:v>
      </x:c>
      <x:c r="F4" s="8" t="str">
        <x:v>Amount</x:v>
      </x:c>
      <x:c r="G4" s="8" t="str">
        <x:v>Status</x:v>
      </x:c>
      <x:c r="H4" s="8" t="str">
        <x:v>Paid Date</x:v>
      </x:c>
      <x:c r="I4" s="8" t="str">
        <x:v>Days Overdue</x:v>
      </x:c>
      <x:c r="J4" s="8" t="str">
        <x:v>Payment Link</x:v>
      </x:c>
      <x:c r="K4" s="8" t="str">
        <x:v>Notes</x:v>
      </x:c>
    </x:row>
    <x:row r="5">
      <x:c r="A5" s="13" t="str">
        <x:v>INV-001</x:v>
      </x:c>
      <x:c r="B5" s="13" t="str">
        <x:v>Harbor Design LLC</x:v>
      </x:c>
      <x:c r="C5" s="13" t="str">
        <x:v>2026-07</x:v>
      </x:c>
      <x:c r="D5" s="24" t="n">
        <x:v>46204</x:v>
      </x:c>
      <x:c r="E5" s="24" t="n">
        <x:v>46211</x:v>
      </x:c>
      <x:c r="F5" s="21" t="n">
        <x:v>850</x:v>
      </x:c>
      <x:c r="G5" s="13" t="str">
        <x:v>Paid</x:v>
      </x:c>
      <x:c r="H5" s="24" t="n">
        <x:v>46208</x:v>
      </x:c>
      <x:c r="I5" s="13" t="n">
        <x:f>IF(OR(G5="Paid",E5=""),0,MAX(0,TODAY()-E5))</x:f>
        <x:v>0</x:v>
      </x:c>
      <x:c r="J5" s="13" t="str"/>
      <x:c r="K5" s="13" t="str">
        <x:v>Sample row</x:v>
      </x:c>
    </x:row>
    <x:row r="6">
      <x:c r="A6" s="14"/>
      <x:c r="B6" s="14"/>
      <x:c r="C6" s="14"/>
      <x:c r="D6" s="25"/>
      <x:c r="E6" s="25"/>
      <x:c r="F6" s="22"/>
      <x:c r="G6" s="14"/>
      <x:c r="H6" s="25"/>
      <x:c r="I6" s="14" t="n">
        <x:f>IF(OR(G6="Paid",E6=""),0,MAX(0,TODAY()-E6))</x:f>
        <x:v>0</x:v>
      </x:c>
      <x:c r="J6" s="14"/>
      <x:c r="K6" s="14"/>
    </x:row>
    <x:row r="7">
      <x:c r="A7" s="14"/>
      <x:c r="B7" s="14"/>
      <x:c r="C7" s="14"/>
      <x:c r="D7" s="25"/>
      <x:c r="E7" s="25"/>
      <x:c r="F7" s="22"/>
      <x:c r="G7" s="14"/>
      <x:c r="H7" s="25"/>
      <x:c r="I7" s="14" t="n">
        <x:f>IF(OR(G7="Paid",E7=""),0,MAX(0,TODAY()-E7))</x:f>
        <x:v>0</x:v>
      </x:c>
      <x:c r="J7" s="14"/>
      <x:c r="K7" s="14"/>
    </x:row>
    <x:row r="8">
      <x:c r="A8" s="14"/>
      <x:c r="B8" s="14"/>
      <x:c r="C8" s="14"/>
      <x:c r="D8" s="25"/>
      <x:c r="E8" s="25"/>
      <x:c r="F8" s="22"/>
      <x:c r="G8" s="14"/>
      <x:c r="H8" s="25"/>
      <x:c r="I8" s="14" t="n">
        <x:f>IF(OR(G8="Paid",E8=""),0,MAX(0,TODAY()-E8))</x:f>
        <x:v>0</x:v>
      </x:c>
      <x:c r="J8" s="14"/>
      <x:c r="K8" s="14"/>
    </x:row>
    <x:row r="9">
      <x:c r="A9" s="14"/>
      <x:c r="B9" s="14"/>
      <x:c r="C9" s="14"/>
      <x:c r="D9" s="25"/>
      <x:c r="E9" s="25"/>
      <x:c r="F9" s="22"/>
      <x:c r="G9" s="14"/>
      <x:c r="H9" s="25"/>
      <x:c r="I9" s="14" t="n">
        <x:f>IF(OR(G9="Paid",E9=""),0,MAX(0,TODAY()-E9))</x:f>
        <x:v>0</x:v>
      </x:c>
      <x:c r="J9" s="14"/>
      <x:c r="K9" s="14"/>
    </x:row>
    <x:row r="10">
      <x:c r="A10" s="14"/>
      <x:c r="B10" s="14"/>
      <x:c r="C10" s="14"/>
      <x:c r="D10" s="25"/>
      <x:c r="E10" s="25"/>
      <x:c r="F10" s="22"/>
      <x:c r="G10" s="14"/>
      <x:c r="H10" s="25"/>
      <x:c r="I10" s="14" t="n">
        <x:f>IF(OR(G10="Paid",E10=""),0,MAX(0,TODAY()-E10))</x:f>
        <x:v>0</x:v>
      </x:c>
      <x:c r="J10" s="14"/>
      <x:c r="K10" s="14"/>
    </x:row>
    <x:row r="11">
      <x:c r="A11" s="14"/>
      <x:c r="B11" s="14"/>
      <x:c r="C11" s="14"/>
      <x:c r="D11" s="25"/>
      <x:c r="E11" s="25"/>
      <x:c r="F11" s="22"/>
      <x:c r="G11" s="14"/>
      <x:c r="H11" s="25"/>
      <x:c r="I11" s="14" t="n">
        <x:f>IF(OR(G11="Paid",E11=""),0,MAX(0,TODAY()-E11))</x:f>
        <x:v>0</x:v>
      </x:c>
      <x:c r="J11" s="14"/>
      <x:c r="K11" s="14"/>
    </x:row>
    <x:row r="12">
      <x:c r="A12" s="14"/>
      <x:c r="B12" s="14"/>
      <x:c r="C12" s="14"/>
      <x:c r="D12" s="25"/>
      <x:c r="E12" s="25"/>
      <x:c r="F12" s="22"/>
      <x:c r="G12" s="14"/>
      <x:c r="H12" s="25"/>
      <x:c r="I12" s="14" t="n">
        <x:f>IF(OR(G12="Paid",E12=""),0,MAX(0,TODAY()-E12))</x:f>
        <x:v>0</x:v>
      </x:c>
      <x:c r="J12" s="14"/>
      <x:c r="K12" s="14"/>
    </x:row>
    <x:row r="13">
      <x:c r="A13" s="14"/>
      <x:c r="B13" s="14"/>
      <x:c r="C13" s="14"/>
      <x:c r="D13" s="25"/>
      <x:c r="E13" s="25"/>
      <x:c r="F13" s="22"/>
      <x:c r="G13" s="14"/>
      <x:c r="H13" s="25"/>
      <x:c r="I13" s="14" t="n">
        <x:f>IF(OR(G13="Paid",E13=""),0,MAX(0,TODAY()-E13))</x:f>
        <x:v>0</x:v>
      </x:c>
      <x:c r="J13" s="14"/>
      <x:c r="K13" s="14"/>
    </x:row>
    <x:row r="14">
      <x:c r="A14" s="14"/>
      <x:c r="B14" s="14"/>
      <x:c r="C14" s="14"/>
      <x:c r="D14" s="25"/>
      <x:c r="E14" s="25"/>
      <x:c r="F14" s="22"/>
      <x:c r="G14" s="14"/>
      <x:c r="H14" s="25"/>
      <x:c r="I14" s="14" t="n">
        <x:f>IF(OR(G14="Paid",E14=""),0,MAX(0,TODAY()-E14))</x:f>
        <x:v>0</x:v>
      </x:c>
      <x:c r="J14" s="14"/>
      <x:c r="K14" s="14"/>
    </x:row>
    <x:row r="15">
      <x:c r="A15" s="14"/>
      <x:c r="B15" s="14"/>
      <x:c r="C15" s="14"/>
      <x:c r="D15" s="25"/>
      <x:c r="E15" s="25"/>
      <x:c r="F15" s="22"/>
      <x:c r="G15" s="14"/>
      <x:c r="H15" s="25"/>
      <x:c r="I15" s="14" t="n">
        <x:f>IF(OR(G15="Paid",E15=""),0,MAX(0,TODAY()-E15))</x:f>
        <x:v>0</x:v>
      </x:c>
      <x:c r="J15" s="14"/>
      <x:c r="K15" s="14"/>
    </x:row>
    <x:row r="16">
      <x:c r="A16" s="14"/>
      <x:c r="B16" s="14"/>
      <x:c r="C16" s="14"/>
      <x:c r="D16" s="25"/>
      <x:c r="E16" s="25"/>
      <x:c r="F16" s="22"/>
      <x:c r="G16" s="14"/>
      <x:c r="H16" s="25"/>
      <x:c r="I16" s="14" t="n">
        <x:f>IF(OR(G16="Paid",E16=""),0,MAX(0,TODAY()-E16))</x:f>
        <x:v>0</x:v>
      </x:c>
      <x:c r="J16" s="14"/>
      <x:c r="K16" s="14"/>
    </x:row>
    <x:row r="17">
      <x:c r="A17" s="14"/>
      <x:c r="B17" s="14"/>
      <x:c r="C17" s="14"/>
      <x:c r="D17" s="25"/>
      <x:c r="E17" s="25"/>
      <x:c r="F17" s="22"/>
      <x:c r="G17" s="14"/>
      <x:c r="H17" s="25"/>
      <x:c r="I17" s="14" t="n">
        <x:f>IF(OR(G17="Paid",E17=""),0,MAX(0,TODAY()-E17))</x:f>
        <x:v>0</x:v>
      </x:c>
      <x:c r="J17" s="14"/>
      <x:c r="K17" s="14"/>
    </x:row>
    <x:row r="18">
      <x:c r="A18" s="14"/>
      <x:c r="B18" s="14"/>
      <x:c r="C18" s="14"/>
      <x:c r="D18" s="25"/>
      <x:c r="E18" s="25"/>
      <x:c r="F18" s="22"/>
      <x:c r="G18" s="14"/>
      <x:c r="H18" s="25"/>
      <x:c r="I18" s="14" t="n">
        <x:f>IF(OR(G18="Paid",E18=""),0,MAX(0,TODAY()-E18))</x:f>
        <x:v>0</x:v>
      </x:c>
      <x:c r="J18" s="14"/>
      <x:c r="K18" s="14"/>
    </x:row>
    <x:row r="19">
      <x:c r="A19" s="14"/>
      <x:c r="B19" s="14"/>
      <x:c r="C19" s="14"/>
      <x:c r="D19" s="25"/>
      <x:c r="E19" s="25"/>
      <x:c r="F19" s="22"/>
      <x:c r="G19" s="14"/>
      <x:c r="H19" s="25"/>
      <x:c r="I19" s="14" t="n">
        <x:f>IF(OR(G19="Paid",E19=""),0,MAX(0,TODAY()-E19))</x:f>
        <x:v>0</x:v>
      </x:c>
      <x:c r="J19" s="14"/>
      <x:c r="K19" s="14"/>
    </x:row>
    <x:row r="20">
      <x:c r="A20" s="14"/>
      <x:c r="B20" s="14"/>
      <x:c r="C20" s="14"/>
      <x:c r="D20" s="25"/>
      <x:c r="E20" s="25"/>
      <x:c r="F20" s="22"/>
      <x:c r="G20" s="14"/>
      <x:c r="H20" s="25"/>
      <x:c r="I20" s="14" t="n">
        <x:f>IF(OR(G20="Paid",E20=""),0,MAX(0,TODAY()-E20))</x:f>
        <x:v>0</x:v>
      </x:c>
      <x:c r="J20" s="14"/>
      <x:c r="K20" s="14"/>
    </x:row>
    <x:row r="21">
      <x:c r="A21" s="14"/>
      <x:c r="B21" s="14"/>
      <x:c r="C21" s="14"/>
      <x:c r="D21" s="25"/>
      <x:c r="E21" s="25"/>
      <x:c r="F21" s="22"/>
      <x:c r="G21" s="14"/>
      <x:c r="H21" s="25"/>
      <x:c r="I21" s="14" t="n">
        <x:f>IF(OR(G21="Paid",E21=""),0,MAX(0,TODAY()-E21))</x:f>
        <x:v>0</x:v>
      </x:c>
      <x:c r="J21" s="14"/>
      <x:c r="K21" s="14"/>
    </x:row>
    <x:row r="22">
      <x:c r="A22" s="14"/>
      <x:c r="B22" s="14"/>
      <x:c r="C22" s="14"/>
      <x:c r="D22" s="25"/>
      <x:c r="E22" s="25"/>
      <x:c r="F22" s="22"/>
      <x:c r="G22" s="14"/>
      <x:c r="H22" s="25"/>
      <x:c r="I22" s="14" t="n">
        <x:f>IF(OR(G22="Paid",E22=""),0,MAX(0,TODAY()-E22))</x:f>
        <x:v>0</x:v>
      </x:c>
      <x:c r="J22" s="14"/>
      <x:c r="K22" s="14"/>
    </x:row>
    <x:row r="23">
      <x:c r="A23" s="14"/>
      <x:c r="B23" s="14"/>
      <x:c r="C23" s="14"/>
      <x:c r="D23" s="25"/>
      <x:c r="E23" s="25"/>
      <x:c r="F23" s="22"/>
      <x:c r="G23" s="14"/>
      <x:c r="H23" s="25"/>
      <x:c r="I23" s="14" t="n">
        <x:f>IF(OR(G23="Paid",E23=""),0,MAX(0,TODAY()-E23))</x:f>
        <x:v>0</x:v>
      </x:c>
      <x:c r="J23" s="14"/>
      <x:c r="K23" s="14"/>
    </x:row>
    <x:row r="24">
      <x:c r="A24" s="14"/>
      <x:c r="B24" s="14"/>
      <x:c r="C24" s="14"/>
      <x:c r="D24" s="25"/>
      <x:c r="E24" s="25"/>
      <x:c r="F24" s="22"/>
      <x:c r="G24" s="14"/>
      <x:c r="H24" s="25"/>
      <x:c r="I24" s="14" t="n">
        <x:f>IF(OR(G24="Paid",E24=""),0,MAX(0,TODAY()-E24))</x:f>
        <x:v>0</x:v>
      </x:c>
      <x:c r="J24" s="14"/>
      <x:c r="K24" s="14"/>
    </x:row>
    <x:row r="25">
      <x:c r="A25" s="14"/>
      <x:c r="B25" s="14"/>
      <x:c r="C25" s="14"/>
      <x:c r="D25" s="25"/>
      <x:c r="E25" s="25"/>
      <x:c r="F25" s="22"/>
      <x:c r="G25" s="14"/>
      <x:c r="H25" s="25"/>
      <x:c r="I25" s="14" t="n">
        <x:f>IF(OR(G25="Paid",E25=""),0,MAX(0,TODAY()-E25))</x:f>
        <x:v>0</x:v>
      </x:c>
      <x:c r="J25" s="14"/>
      <x:c r="K25" s="14"/>
    </x:row>
    <x:row r="26">
      <x:c r="A26" s="14"/>
      <x:c r="B26" s="14"/>
      <x:c r="C26" s="14"/>
      <x:c r="D26" s="25"/>
      <x:c r="E26" s="25"/>
      <x:c r="F26" s="22"/>
      <x:c r="G26" s="14"/>
      <x:c r="H26" s="25"/>
      <x:c r="I26" s="14" t="n">
        <x:f>IF(OR(G26="Paid",E26=""),0,MAX(0,TODAY()-E26))</x:f>
        <x:v>0</x:v>
      </x:c>
      <x:c r="J26" s="14"/>
      <x:c r="K26" s="14"/>
    </x:row>
    <x:row r="27">
      <x:c r="A27" s="14"/>
      <x:c r="B27" s="14"/>
      <x:c r="C27" s="14"/>
      <x:c r="D27" s="25"/>
      <x:c r="E27" s="25"/>
      <x:c r="F27" s="22"/>
      <x:c r="G27" s="14"/>
      <x:c r="H27" s="25"/>
      <x:c r="I27" s="14" t="n">
        <x:f>IF(OR(G27="Paid",E27=""),0,MAX(0,TODAY()-E27))</x:f>
        <x:v>0</x:v>
      </x:c>
      <x:c r="J27" s="14"/>
      <x:c r="K27" s="14"/>
    </x:row>
    <x:row r="28">
      <x:c r="A28" s="14"/>
      <x:c r="B28" s="14"/>
      <x:c r="C28" s="14"/>
      <x:c r="D28" s="25"/>
      <x:c r="E28" s="25"/>
      <x:c r="F28" s="22"/>
      <x:c r="G28" s="14"/>
      <x:c r="H28" s="25"/>
      <x:c r="I28" s="14" t="n">
        <x:f>IF(OR(G28="Paid",E28=""),0,MAX(0,TODAY()-E28))</x:f>
        <x:v>0</x:v>
      </x:c>
      <x:c r="J28" s="14"/>
      <x:c r="K28" s="14"/>
    </x:row>
    <x:row r="29">
      <x:c r="A29" s="14"/>
      <x:c r="B29" s="14"/>
      <x:c r="C29" s="14"/>
      <x:c r="D29" s="25"/>
      <x:c r="E29" s="25"/>
      <x:c r="F29" s="22"/>
      <x:c r="G29" s="14"/>
      <x:c r="H29" s="25"/>
      <x:c r="I29" s="14" t="n">
        <x:f>IF(OR(G29="Paid",E29=""),0,MAX(0,TODAY()-E29))</x:f>
        <x:v>0</x:v>
      </x:c>
      <x:c r="J29" s="14"/>
      <x:c r="K29" s="14"/>
    </x:row>
    <x:row r="30">
      <x:c r="A30" s="14"/>
      <x:c r="B30" s="14"/>
      <x:c r="C30" s="14"/>
      <x:c r="D30" s="25"/>
      <x:c r="E30" s="25"/>
      <x:c r="F30" s="22"/>
      <x:c r="G30" s="14"/>
      <x:c r="H30" s="25"/>
      <x:c r="I30" s="14" t="n">
        <x:f>IF(OR(G30="Paid",E30=""),0,MAX(0,TODAY()-E30))</x:f>
        <x:v>0</x:v>
      </x:c>
      <x:c r="J30" s="14"/>
      <x:c r="K30" s="14"/>
    </x:row>
    <x:row r="31">
      <x:c r="A31" s="14"/>
      <x:c r="B31" s="14"/>
      <x:c r="C31" s="14"/>
      <x:c r="D31" s="25"/>
      <x:c r="E31" s="25"/>
      <x:c r="F31" s="22"/>
      <x:c r="G31" s="14"/>
      <x:c r="H31" s="25"/>
      <x:c r="I31" s="14" t="n">
        <x:f>IF(OR(G31="Paid",E31=""),0,MAX(0,TODAY()-E31))</x:f>
        <x:v>0</x:v>
      </x:c>
      <x:c r="J31" s="14"/>
      <x:c r="K31" s="14"/>
    </x:row>
    <x:row r="32">
      <x:c r="A32" s="14"/>
      <x:c r="B32" s="14"/>
      <x:c r="C32" s="14"/>
      <x:c r="D32" s="25"/>
      <x:c r="E32" s="25"/>
      <x:c r="F32" s="22"/>
      <x:c r="G32" s="14"/>
      <x:c r="H32" s="25"/>
      <x:c r="I32" s="14" t="n">
        <x:f>IF(OR(G32="Paid",E32=""),0,MAX(0,TODAY()-E32))</x:f>
        <x:v>0</x:v>
      </x:c>
      <x:c r="J32" s="14"/>
      <x:c r="K32" s="14"/>
    </x:row>
    <x:row r="33">
      <x:c r="A33" s="14"/>
      <x:c r="B33" s="14"/>
      <x:c r="C33" s="14"/>
      <x:c r="D33" s="25"/>
      <x:c r="E33" s="25"/>
      <x:c r="F33" s="22"/>
      <x:c r="G33" s="14"/>
      <x:c r="H33" s="25"/>
      <x:c r="I33" s="14" t="n">
        <x:f>IF(OR(G33="Paid",E33=""),0,MAX(0,TODAY()-E33))</x:f>
        <x:v>0</x:v>
      </x:c>
      <x:c r="J33" s="14"/>
      <x:c r="K33" s="14"/>
    </x:row>
    <x:row r="34">
      <x:c r="A34" s="14"/>
      <x:c r="B34" s="14"/>
      <x:c r="C34" s="14"/>
      <x:c r="D34" s="25"/>
      <x:c r="E34" s="25"/>
      <x:c r="F34" s="22"/>
      <x:c r="G34" s="14"/>
      <x:c r="H34" s="25"/>
      <x:c r="I34" s="14" t="n">
        <x:f>IF(OR(G34="Paid",E34=""),0,MAX(0,TODAY()-E34))</x:f>
        <x:v>0</x:v>
      </x:c>
      <x:c r="J34" s="14"/>
      <x:c r="K34" s="14"/>
    </x:row>
    <x:row r="35">
      <x:c r="A35" s="14"/>
      <x:c r="B35" s="14"/>
      <x:c r="C35" s="14"/>
      <x:c r="D35" s="25"/>
      <x:c r="E35" s="25"/>
      <x:c r="F35" s="22"/>
      <x:c r="G35" s="14"/>
      <x:c r="H35" s="25"/>
      <x:c r="I35" s="14" t="n">
        <x:f>IF(OR(G35="Paid",E35=""),0,MAX(0,TODAY()-E35))</x:f>
        <x:v>0</x:v>
      </x:c>
      <x:c r="J35" s="14"/>
      <x:c r="K35" s="14"/>
    </x:row>
    <x:row r="36">
      <x:c r="A36" s="14"/>
      <x:c r="B36" s="14"/>
      <x:c r="C36" s="14"/>
      <x:c r="D36" s="25"/>
      <x:c r="E36" s="25"/>
      <x:c r="F36" s="22"/>
      <x:c r="G36" s="14"/>
      <x:c r="H36" s="25"/>
      <x:c r="I36" s="14" t="n">
        <x:f>IF(OR(G36="Paid",E36=""),0,MAX(0,TODAY()-E36))</x:f>
        <x:v>0</x:v>
      </x:c>
      <x:c r="J36" s="14"/>
      <x:c r="K36" s="14"/>
    </x:row>
    <x:row r="37">
      <x:c r="A37" s="14"/>
      <x:c r="B37" s="14"/>
      <x:c r="C37" s="14"/>
      <x:c r="D37" s="25"/>
      <x:c r="E37" s="25"/>
      <x:c r="F37" s="22"/>
      <x:c r="G37" s="14"/>
      <x:c r="H37" s="25"/>
      <x:c r="I37" s="14" t="n">
        <x:f>IF(OR(G37="Paid",E37=""),0,MAX(0,TODAY()-E37))</x:f>
        <x:v>0</x:v>
      </x:c>
      <x:c r="J37" s="14"/>
      <x:c r="K37" s="14"/>
    </x:row>
    <x:row r="38">
      <x:c r="A38" s="14"/>
      <x:c r="B38" s="14"/>
      <x:c r="C38" s="14"/>
      <x:c r="D38" s="25"/>
      <x:c r="E38" s="25"/>
      <x:c r="F38" s="22"/>
      <x:c r="G38" s="14"/>
      <x:c r="H38" s="25"/>
      <x:c r="I38" s="14" t="n">
        <x:f>IF(OR(G38="Paid",E38=""),0,MAX(0,TODAY()-E38))</x:f>
        <x:v>0</x:v>
      </x:c>
      <x:c r="J38" s="14"/>
      <x:c r="K38" s="14"/>
    </x:row>
    <x:row r="39">
      <x:c r="A39" s="14"/>
      <x:c r="B39" s="14"/>
      <x:c r="C39" s="14"/>
      <x:c r="D39" s="25"/>
      <x:c r="E39" s="25"/>
      <x:c r="F39" s="22"/>
      <x:c r="G39" s="14"/>
      <x:c r="H39" s="25"/>
      <x:c r="I39" s="14" t="n">
        <x:f>IF(OR(G39="Paid",E39=""),0,MAX(0,TODAY()-E39))</x:f>
        <x:v>0</x:v>
      </x:c>
      <x:c r="J39" s="14"/>
      <x:c r="K39" s="14"/>
    </x:row>
    <x:row r="40">
      <x:c r="A40" s="14"/>
      <x:c r="B40" s="14"/>
      <x:c r="C40" s="14"/>
      <x:c r="D40" s="25"/>
      <x:c r="E40" s="25"/>
      <x:c r="F40" s="22"/>
      <x:c r="G40" s="14"/>
      <x:c r="H40" s="25"/>
      <x:c r="I40" s="14" t="n">
        <x:f>IF(OR(G40="Paid",E40=""),0,MAX(0,TODAY()-E40))</x:f>
        <x:v>0</x:v>
      </x:c>
      <x:c r="J40" s="14"/>
      <x:c r="K40" s="14"/>
    </x:row>
    <x:row r="41">
      <x:c r="A41" s="14"/>
      <x:c r="B41" s="14"/>
      <x:c r="C41" s="14"/>
      <x:c r="D41" s="25"/>
      <x:c r="E41" s="25"/>
      <x:c r="F41" s="22"/>
      <x:c r="G41" s="14"/>
      <x:c r="H41" s="25"/>
      <x:c r="I41" s="14" t="n">
        <x:f>IF(OR(G41="Paid",E41=""),0,MAX(0,TODAY()-E41))</x:f>
        <x:v>0</x:v>
      </x:c>
      <x:c r="J41" s="14"/>
      <x:c r="K41" s="14"/>
    </x:row>
    <x:row r="42">
      <x:c r="A42" s="14"/>
      <x:c r="B42" s="14"/>
      <x:c r="C42" s="14"/>
      <x:c r="D42" s="25"/>
      <x:c r="E42" s="25"/>
      <x:c r="F42" s="22"/>
      <x:c r="G42" s="14"/>
      <x:c r="H42" s="25"/>
      <x:c r="I42" s="14" t="n">
        <x:f>IF(OR(G42="Paid",E42=""),0,MAX(0,TODAY()-E42))</x:f>
        <x:v>0</x:v>
      </x:c>
      <x:c r="J42" s="14"/>
      <x:c r="K42" s="14"/>
    </x:row>
    <x:row r="43">
      <x:c r="A43" s="14"/>
      <x:c r="B43" s="14"/>
      <x:c r="C43" s="14"/>
      <x:c r="D43" s="25"/>
      <x:c r="E43" s="25"/>
      <x:c r="F43" s="22"/>
      <x:c r="G43" s="14"/>
      <x:c r="H43" s="25"/>
      <x:c r="I43" s="14" t="n">
        <x:f>IF(OR(G43="Paid",E43=""),0,MAX(0,TODAY()-E43))</x:f>
        <x:v>0</x:v>
      </x:c>
      <x:c r="J43" s="14"/>
      <x:c r="K43" s="14"/>
    </x:row>
    <x:row r="44">
      <x:c r="A44" s="14"/>
      <x:c r="B44" s="14"/>
      <x:c r="C44" s="14"/>
      <x:c r="D44" s="25"/>
      <x:c r="E44" s="25"/>
      <x:c r="F44" s="22"/>
      <x:c r="G44" s="14"/>
      <x:c r="H44" s="25"/>
      <x:c r="I44" s="14" t="n">
        <x:f>IF(OR(G44="Paid",E44=""),0,MAX(0,TODAY()-E44))</x:f>
        <x:v>0</x:v>
      </x:c>
      <x:c r="J44" s="14"/>
      <x:c r="K44" s="14"/>
    </x:row>
    <x:row r="45">
      <x:c r="A45" s="14"/>
      <x:c r="B45" s="14"/>
      <x:c r="C45" s="14"/>
      <x:c r="D45" s="25"/>
      <x:c r="E45" s="25"/>
      <x:c r="F45" s="22"/>
      <x:c r="G45" s="14"/>
      <x:c r="H45" s="25"/>
      <x:c r="I45" s="14" t="n">
        <x:f>IF(OR(G45="Paid",E45=""),0,MAX(0,TODAY()-E45))</x:f>
        <x:v>0</x:v>
      </x:c>
      <x:c r="J45" s="14"/>
      <x:c r="K45" s="14"/>
    </x:row>
    <x:row r="46">
      <x:c r="A46" s="14"/>
      <x:c r="B46" s="14"/>
      <x:c r="C46" s="14"/>
      <x:c r="D46" s="25"/>
      <x:c r="E46" s="25"/>
      <x:c r="F46" s="22"/>
      <x:c r="G46" s="14"/>
      <x:c r="H46" s="25"/>
      <x:c r="I46" s="14" t="n">
        <x:f>IF(OR(G46="Paid",E46=""),0,MAX(0,TODAY()-E46))</x:f>
        <x:v>0</x:v>
      </x:c>
      <x:c r="J46" s="14"/>
      <x:c r="K46" s="14"/>
    </x:row>
    <x:row r="47">
      <x:c r="A47" s="14"/>
      <x:c r="B47" s="14"/>
      <x:c r="C47" s="14"/>
      <x:c r="D47" s="25"/>
      <x:c r="E47" s="25"/>
      <x:c r="F47" s="22"/>
      <x:c r="G47" s="14"/>
      <x:c r="H47" s="25"/>
      <x:c r="I47" s="14" t="n">
        <x:f>IF(OR(G47="Paid",E47=""),0,MAX(0,TODAY()-E47))</x:f>
        <x:v>0</x:v>
      </x:c>
      <x:c r="J47" s="14"/>
      <x:c r="K47" s="14"/>
    </x:row>
    <x:row r="48">
      <x:c r="A48" s="14"/>
      <x:c r="B48" s="14"/>
      <x:c r="C48" s="14"/>
      <x:c r="D48" s="25"/>
      <x:c r="E48" s="25"/>
      <x:c r="F48" s="22"/>
      <x:c r="G48" s="14"/>
      <x:c r="H48" s="25"/>
      <x:c r="I48" s="14" t="n">
        <x:f>IF(OR(G48="Paid",E48=""),0,MAX(0,TODAY()-E48))</x:f>
        <x:v>0</x:v>
      </x:c>
      <x:c r="J48" s="14"/>
      <x:c r="K48" s="14"/>
    </x:row>
    <x:row r="49">
      <x:c r="A49" s="14"/>
      <x:c r="B49" s="14"/>
      <x:c r="C49" s="14"/>
      <x:c r="D49" s="25"/>
      <x:c r="E49" s="25"/>
      <x:c r="F49" s="22"/>
      <x:c r="G49" s="14"/>
      <x:c r="H49" s="25"/>
      <x:c r="I49" s="14" t="n">
        <x:f>IF(OR(G49="Paid",E49=""),0,MAX(0,TODAY()-E49))</x:f>
        <x:v>0</x:v>
      </x:c>
      <x:c r="J49" s="14"/>
      <x:c r="K49" s="14"/>
    </x:row>
    <x:row r="50">
      <x:c r="A50" s="14"/>
      <x:c r="B50" s="14"/>
      <x:c r="C50" s="14"/>
      <x:c r="D50" s="25"/>
      <x:c r="E50" s="25"/>
      <x:c r="F50" s="22"/>
      <x:c r="G50" s="14"/>
      <x:c r="H50" s="25"/>
      <x:c r="I50" s="14" t="n">
        <x:f>IF(OR(G50="Paid",E50=""),0,MAX(0,TODAY()-E50))</x:f>
        <x:v>0</x:v>
      </x:c>
      <x:c r="J50" s="14"/>
      <x:c r="K50" s="14"/>
    </x:row>
    <x:row r="51">
      <x:c r="A51" s="14"/>
      <x:c r="B51" s="14"/>
      <x:c r="C51" s="14"/>
      <x:c r="D51" s="25"/>
      <x:c r="E51" s="25"/>
      <x:c r="F51" s="22"/>
      <x:c r="G51" s="14"/>
      <x:c r="H51" s="25"/>
      <x:c r="I51" s="14" t="n">
        <x:f>IF(OR(G51="Paid",E51=""),0,MAX(0,TODAY()-E51))</x:f>
        <x:v>0</x:v>
      </x:c>
      <x:c r="J51" s="14"/>
      <x:c r="K51" s="14"/>
    </x:row>
    <x:row r="52">
      <x:c r="A52" s="14"/>
      <x:c r="B52" s="14"/>
      <x:c r="C52" s="14"/>
      <x:c r="D52" s="25"/>
      <x:c r="E52" s="25"/>
      <x:c r="F52" s="22"/>
      <x:c r="G52" s="14"/>
      <x:c r="H52" s="25"/>
      <x:c r="I52" s="14" t="n">
        <x:f>IF(OR(G52="Paid",E52=""),0,MAX(0,TODAY()-E52))</x:f>
        <x:v>0</x:v>
      </x:c>
      <x:c r="J52" s="14"/>
      <x:c r="K52" s="14"/>
    </x:row>
    <x:row r="53">
      <x:c r="A53" s="14"/>
      <x:c r="B53" s="14"/>
      <x:c r="C53" s="14"/>
      <x:c r="D53" s="25"/>
      <x:c r="E53" s="25"/>
      <x:c r="F53" s="22"/>
      <x:c r="G53" s="14"/>
      <x:c r="H53" s="25"/>
      <x:c r="I53" s="14" t="n">
        <x:f>IF(OR(G53="Paid",E53=""),0,MAX(0,TODAY()-E53))</x:f>
        <x:v>0</x:v>
      </x:c>
      <x:c r="J53" s="14"/>
      <x:c r="K53" s="14"/>
    </x:row>
    <x:row r="54">
      <x:c r="A54" s="14"/>
      <x:c r="B54" s="14"/>
      <x:c r="C54" s="14"/>
      <x:c r="D54" s="25"/>
      <x:c r="E54" s="25"/>
      <x:c r="F54" s="22"/>
      <x:c r="G54" s="14"/>
      <x:c r="H54" s="25"/>
      <x:c r="I54" s="14" t="n">
        <x:f>IF(OR(G54="Paid",E54=""),0,MAX(0,TODAY()-E54))</x:f>
        <x:v>0</x:v>
      </x:c>
      <x:c r="J54" s="14"/>
      <x:c r="K54" s="14"/>
    </x:row>
    <x:row r="55">
      <x:c r="A55" s="14"/>
      <x:c r="B55" s="14"/>
      <x:c r="C55" s="14"/>
      <x:c r="D55" s="25"/>
      <x:c r="E55" s="25"/>
      <x:c r="F55" s="22"/>
      <x:c r="G55" s="14"/>
      <x:c r="H55" s="25"/>
      <x:c r="I55" s="14" t="n">
        <x:f>IF(OR(G55="Paid",E55=""),0,MAX(0,TODAY()-E55))</x:f>
        <x:v>0</x:v>
      </x:c>
      <x:c r="J55" s="14"/>
      <x:c r="K55" s="14"/>
    </x:row>
    <x:row r="56">
      <x:c r="A56" s="14"/>
      <x:c r="B56" s="14"/>
      <x:c r="C56" s="14"/>
      <x:c r="D56" s="25"/>
      <x:c r="E56" s="25"/>
      <x:c r="F56" s="22"/>
      <x:c r="G56" s="14"/>
      <x:c r="H56" s="25"/>
      <x:c r="I56" s="14" t="n">
        <x:f>IF(OR(G56="Paid",E56=""),0,MAX(0,TODAY()-E56))</x:f>
        <x:v>0</x:v>
      </x:c>
      <x:c r="J56" s="14"/>
      <x:c r="K56" s="14"/>
    </x:row>
    <x:row r="57">
      <x:c r="A57" s="14"/>
      <x:c r="B57" s="14"/>
      <x:c r="C57" s="14"/>
      <x:c r="D57" s="25"/>
      <x:c r="E57" s="25"/>
      <x:c r="F57" s="22"/>
      <x:c r="G57" s="14"/>
      <x:c r="H57" s="25"/>
      <x:c r="I57" s="14" t="n">
        <x:f>IF(OR(G57="Paid",E57=""),0,MAX(0,TODAY()-E57))</x:f>
        <x:v>0</x:v>
      </x:c>
      <x:c r="J57" s="14"/>
      <x:c r="K57" s="14"/>
    </x:row>
    <x:row r="58">
      <x:c r="A58" s="14"/>
      <x:c r="B58" s="14"/>
      <x:c r="C58" s="14"/>
      <x:c r="D58" s="25"/>
      <x:c r="E58" s="25"/>
      <x:c r="F58" s="22"/>
      <x:c r="G58" s="14"/>
      <x:c r="H58" s="25"/>
      <x:c r="I58" s="14" t="n">
        <x:f>IF(OR(G58="Paid",E58=""),0,MAX(0,TODAY()-E58))</x:f>
        <x:v>0</x:v>
      </x:c>
      <x:c r="J58" s="14"/>
      <x:c r="K58" s="14"/>
    </x:row>
    <x:row r="59">
      <x:c r="A59" s="14"/>
      <x:c r="B59" s="14"/>
      <x:c r="C59" s="14"/>
      <x:c r="D59" s="25"/>
      <x:c r="E59" s="25"/>
      <x:c r="F59" s="22"/>
      <x:c r="G59" s="14"/>
      <x:c r="H59" s="25"/>
      <x:c r="I59" s="14" t="n">
        <x:f>IF(OR(G59="Paid",E59=""),0,MAX(0,TODAY()-E59))</x:f>
        <x:v>0</x:v>
      </x:c>
      <x:c r="J59" s="14"/>
      <x:c r="K59" s="14"/>
    </x:row>
    <x:row r="60">
      <x:c r="A60" s="14"/>
      <x:c r="B60" s="14"/>
      <x:c r="C60" s="14"/>
      <x:c r="D60" s="25"/>
      <x:c r="E60" s="25"/>
      <x:c r="F60" s="22"/>
      <x:c r="G60" s="14"/>
      <x:c r="H60" s="25"/>
      <x:c r="I60" s="14" t="n">
        <x:f>IF(OR(G60="Paid",E60=""),0,MAX(0,TODAY()-E60))</x:f>
        <x:v>0</x:v>
      </x:c>
      <x:c r="J60" s="14"/>
      <x:c r="K60" s="14"/>
    </x:row>
    <x:row r="61">
      <x:c r="A61" s="14"/>
      <x:c r="B61" s="14"/>
      <x:c r="C61" s="14"/>
      <x:c r="D61" s="25"/>
      <x:c r="E61" s="25"/>
      <x:c r="F61" s="22"/>
      <x:c r="G61" s="14"/>
      <x:c r="H61" s="25"/>
      <x:c r="I61" s="14" t="n">
        <x:f>IF(OR(G61="Paid",E61=""),0,MAX(0,TODAY()-E61))</x:f>
        <x:v>0</x:v>
      </x:c>
      <x:c r="J61" s="14"/>
      <x:c r="K61" s="14"/>
    </x:row>
    <x:row r="62">
      <x:c r="A62" s="14"/>
      <x:c r="B62" s="14"/>
      <x:c r="C62" s="14"/>
      <x:c r="D62" s="25"/>
      <x:c r="E62" s="25"/>
      <x:c r="F62" s="22"/>
      <x:c r="G62" s="14"/>
      <x:c r="H62" s="25"/>
      <x:c r="I62" s="14" t="n">
        <x:f>IF(OR(G62="Paid",E62=""),0,MAX(0,TODAY()-E62))</x:f>
        <x:v>0</x:v>
      </x:c>
      <x:c r="J62" s="14"/>
      <x:c r="K62" s="14"/>
    </x:row>
    <x:row r="63">
      <x:c r="A63" s="14"/>
      <x:c r="B63" s="14"/>
      <x:c r="C63" s="14"/>
      <x:c r="D63" s="25"/>
      <x:c r="E63" s="25"/>
      <x:c r="F63" s="22"/>
      <x:c r="G63" s="14"/>
      <x:c r="H63" s="25"/>
      <x:c r="I63" s="14" t="n">
        <x:f>IF(OR(G63="Paid",E63=""),0,MAX(0,TODAY()-E63))</x:f>
        <x:v>0</x:v>
      </x:c>
      <x:c r="J63" s="14"/>
      <x:c r="K63" s="14"/>
    </x:row>
    <x:row r="64">
      <x:c r="A64" s="14"/>
      <x:c r="B64" s="14"/>
      <x:c r="C64" s="14"/>
      <x:c r="D64" s="25"/>
      <x:c r="E64" s="25"/>
      <x:c r="F64" s="22"/>
      <x:c r="G64" s="14"/>
      <x:c r="H64" s="25"/>
      <x:c r="I64" s="14" t="n">
        <x:f>IF(OR(G64="Paid",E64=""),0,MAX(0,TODAY()-E64))</x:f>
        <x:v>0</x:v>
      </x:c>
      <x:c r="J64" s="14"/>
      <x:c r="K64" s="14"/>
    </x:row>
    <x:row r="65">
      <x:c r="A65" s="14"/>
      <x:c r="B65" s="14"/>
      <x:c r="C65" s="14"/>
      <x:c r="D65" s="25"/>
      <x:c r="E65" s="25"/>
      <x:c r="F65" s="22"/>
      <x:c r="G65" s="14"/>
      <x:c r="H65" s="25"/>
      <x:c r="I65" s="14" t="n">
        <x:f>IF(OR(G65="Paid",E65=""),0,MAX(0,TODAY()-E65))</x:f>
        <x:v>0</x:v>
      </x:c>
      <x:c r="J65" s="14"/>
      <x:c r="K65" s="14"/>
    </x:row>
    <x:row r="66">
      <x:c r="A66" s="14"/>
      <x:c r="B66" s="14"/>
      <x:c r="C66" s="14"/>
      <x:c r="D66" s="25"/>
      <x:c r="E66" s="25"/>
      <x:c r="F66" s="22"/>
      <x:c r="G66" s="14"/>
      <x:c r="H66" s="25"/>
      <x:c r="I66" s="14" t="n">
        <x:f>IF(OR(G66="Paid",E66=""),0,MAX(0,TODAY()-E66))</x:f>
        <x:v>0</x:v>
      </x:c>
      <x:c r="J66" s="14"/>
      <x:c r="K66" s="14"/>
    </x:row>
    <x:row r="67">
      <x:c r="A67" s="14"/>
      <x:c r="B67" s="14"/>
      <x:c r="C67" s="14"/>
      <x:c r="D67" s="25"/>
      <x:c r="E67" s="25"/>
      <x:c r="F67" s="22"/>
      <x:c r="G67" s="14"/>
      <x:c r="H67" s="25"/>
      <x:c r="I67" s="14" t="n">
        <x:f>IF(OR(G67="Paid",E67=""),0,MAX(0,TODAY()-E67))</x:f>
        <x:v>0</x:v>
      </x:c>
      <x:c r="J67" s="14"/>
      <x:c r="K67" s="14"/>
    </x:row>
    <x:row r="68">
      <x:c r="A68" s="14"/>
      <x:c r="B68" s="14"/>
      <x:c r="C68" s="14"/>
      <x:c r="D68" s="25"/>
      <x:c r="E68" s="25"/>
      <x:c r="F68" s="22"/>
      <x:c r="G68" s="14"/>
      <x:c r="H68" s="25"/>
      <x:c r="I68" s="14" t="n">
        <x:f>IF(OR(G68="Paid",E68=""),0,MAX(0,TODAY()-E68))</x:f>
        <x:v>0</x:v>
      </x:c>
      <x:c r="J68" s="14"/>
      <x:c r="K68" s="14"/>
    </x:row>
    <x:row r="69">
      <x:c r="A69" s="14"/>
      <x:c r="B69" s="14"/>
      <x:c r="C69" s="14"/>
      <x:c r="D69" s="25"/>
      <x:c r="E69" s="25"/>
      <x:c r="F69" s="22"/>
      <x:c r="G69" s="14"/>
      <x:c r="H69" s="25"/>
      <x:c r="I69" s="14" t="n">
        <x:f>IF(OR(G69="Paid",E69=""),0,MAX(0,TODAY()-E69))</x:f>
        <x:v>0</x:v>
      </x:c>
      <x:c r="J69" s="14"/>
      <x:c r="K69" s="14"/>
    </x:row>
    <x:row r="70">
      <x:c r="A70" s="14"/>
      <x:c r="B70" s="14"/>
      <x:c r="C70" s="14"/>
      <x:c r="D70" s="25"/>
      <x:c r="E70" s="25"/>
      <x:c r="F70" s="22"/>
      <x:c r="G70" s="14"/>
      <x:c r="H70" s="25"/>
      <x:c r="I70" s="14" t="n">
        <x:f>IF(OR(G70="Paid",E70=""),0,MAX(0,TODAY()-E70))</x:f>
        <x:v>0</x:v>
      </x:c>
      <x:c r="J70" s="14"/>
      <x:c r="K70" s="14"/>
    </x:row>
    <x:row r="71">
      <x:c r="A71" s="14"/>
      <x:c r="B71" s="14"/>
      <x:c r="C71" s="14"/>
      <x:c r="D71" s="25"/>
      <x:c r="E71" s="25"/>
      <x:c r="F71" s="22"/>
      <x:c r="G71" s="14"/>
      <x:c r="H71" s="25"/>
      <x:c r="I71" s="14" t="n">
        <x:f>IF(OR(G71="Paid",E71=""),0,MAX(0,TODAY()-E71))</x:f>
        <x:v>0</x:v>
      </x:c>
      <x:c r="J71" s="14"/>
      <x:c r="K71" s="14"/>
    </x:row>
    <x:row r="72">
      <x:c r="A72" s="14"/>
      <x:c r="B72" s="14"/>
      <x:c r="C72" s="14"/>
      <x:c r="D72" s="25"/>
      <x:c r="E72" s="25"/>
      <x:c r="F72" s="22"/>
      <x:c r="G72" s="14"/>
      <x:c r="H72" s="25"/>
      <x:c r="I72" s="14" t="n">
        <x:f>IF(OR(G72="Paid",E72=""),0,MAX(0,TODAY()-E72))</x:f>
        <x:v>0</x:v>
      </x:c>
      <x:c r="J72" s="14"/>
      <x:c r="K72" s="14"/>
    </x:row>
    <x:row r="73">
      <x:c r="A73" s="14"/>
      <x:c r="B73" s="14"/>
      <x:c r="C73" s="14"/>
      <x:c r="D73" s="25"/>
      <x:c r="E73" s="25"/>
      <x:c r="F73" s="22"/>
      <x:c r="G73" s="14"/>
      <x:c r="H73" s="25"/>
      <x:c r="I73" s="14" t="n">
        <x:f>IF(OR(G73="Paid",E73=""),0,MAX(0,TODAY()-E73))</x:f>
        <x:v>0</x:v>
      </x:c>
      <x:c r="J73" s="14"/>
      <x:c r="K73" s="14"/>
    </x:row>
    <x:row r="74">
      <x:c r="A74" s="14"/>
      <x:c r="B74" s="14"/>
      <x:c r="C74" s="14"/>
      <x:c r="D74" s="25"/>
      <x:c r="E74" s="25"/>
      <x:c r="F74" s="22"/>
      <x:c r="G74" s="14"/>
      <x:c r="H74" s="25"/>
      <x:c r="I74" s="14" t="n">
        <x:f>IF(OR(G74="Paid",E74=""),0,MAX(0,TODAY()-E74))</x:f>
        <x:v>0</x:v>
      </x:c>
      <x:c r="J74" s="14"/>
      <x:c r="K74" s="14"/>
    </x:row>
    <x:row r="75">
      <x:c r="A75" s="14"/>
      <x:c r="B75" s="14"/>
      <x:c r="C75" s="14"/>
      <x:c r="D75" s="25"/>
      <x:c r="E75" s="25"/>
      <x:c r="F75" s="22"/>
      <x:c r="G75" s="14"/>
      <x:c r="H75" s="25"/>
      <x:c r="I75" s="14" t="n">
        <x:f>IF(OR(G75="Paid",E75=""),0,MAX(0,TODAY()-E75))</x:f>
        <x:v>0</x:v>
      </x:c>
      <x:c r="J75" s="14"/>
      <x:c r="K75" s="14"/>
    </x:row>
    <x:row r="76">
      <x:c r="A76" s="14"/>
      <x:c r="B76" s="14"/>
      <x:c r="C76" s="14"/>
      <x:c r="D76" s="25"/>
      <x:c r="E76" s="25"/>
      <x:c r="F76" s="22"/>
      <x:c r="G76" s="14"/>
      <x:c r="H76" s="25"/>
      <x:c r="I76" s="14" t="n">
        <x:f>IF(OR(G76="Paid",E76=""),0,MAX(0,TODAY()-E76))</x:f>
        <x:v>0</x:v>
      </x:c>
      <x:c r="J76" s="14"/>
      <x:c r="K76" s="14"/>
    </x:row>
    <x:row r="77">
      <x:c r="A77" s="14"/>
      <x:c r="B77" s="14"/>
      <x:c r="C77" s="14"/>
      <x:c r="D77" s="25"/>
      <x:c r="E77" s="25"/>
      <x:c r="F77" s="22"/>
      <x:c r="G77" s="14"/>
      <x:c r="H77" s="25"/>
      <x:c r="I77" s="14" t="n">
        <x:f>IF(OR(G77="Paid",E77=""),0,MAX(0,TODAY()-E77))</x:f>
        <x:v>0</x:v>
      </x:c>
      <x:c r="J77" s="14"/>
      <x:c r="K77" s="14"/>
    </x:row>
    <x:row r="78">
      <x:c r="A78" s="14"/>
      <x:c r="B78" s="14"/>
      <x:c r="C78" s="14"/>
      <x:c r="D78" s="25"/>
      <x:c r="E78" s="25"/>
      <x:c r="F78" s="22"/>
      <x:c r="G78" s="14"/>
      <x:c r="H78" s="25"/>
      <x:c r="I78" s="14" t="n">
        <x:f>IF(OR(G78="Paid",E78=""),0,MAX(0,TODAY()-E78))</x:f>
        <x:v>0</x:v>
      </x:c>
      <x:c r="J78" s="14"/>
      <x:c r="K78" s="14"/>
    </x:row>
    <x:row r="79">
      <x:c r="A79" s="14"/>
      <x:c r="B79" s="14"/>
      <x:c r="C79" s="14"/>
      <x:c r="D79" s="25"/>
      <x:c r="E79" s="25"/>
      <x:c r="F79" s="22"/>
      <x:c r="G79" s="14"/>
      <x:c r="H79" s="25"/>
      <x:c r="I79" s="14" t="n">
        <x:f>IF(OR(G79="Paid",E79=""),0,MAX(0,TODAY()-E79))</x:f>
        <x:v>0</x:v>
      </x:c>
      <x:c r="J79" s="14"/>
      <x:c r="K79" s="14"/>
    </x:row>
    <x:row r="80">
      <x:c r="A80" s="14"/>
      <x:c r="B80" s="14"/>
      <x:c r="C80" s="14"/>
      <x:c r="D80" s="25"/>
      <x:c r="E80" s="25"/>
      <x:c r="F80" s="22"/>
      <x:c r="G80" s="14"/>
      <x:c r="H80" s="25"/>
      <x:c r="I80" s="14" t="n">
        <x:f>IF(OR(G80="Paid",E80=""),0,MAX(0,TODAY()-E80))</x:f>
        <x:v>0</x:v>
      </x:c>
      <x:c r="J80" s="14"/>
      <x:c r="K80" s="14"/>
    </x:row>
    <x:row r="81">
      <x:c r="A81" s="14"/>
      <x:c r="B81" s="14"/>
      <x:c r="C81" s="14"/>
      <x:c r="D81" s="25"/>
      <x:c r="E81" s="25"/>
      <x:c r="F81" s="22"/>
      <x:c r="G81" s="14"/>
      <x:c r="H81" s="25"/>
      <x:c r="I81" s="14" t="n">
        <x:f>IF(OR(G81="Paid",E81=""),0,MAX(0,TODAY()-E81))</x:f>
        <x:v>0</x:v>
      </x:c>
      <x:c r="J81" s="14"/>
      <x:c r="K81" s="14"/>
    </x:row>
    <x:row r="82">
      <x:c r="A82" s="14"/>
      <x:c r="B82" s="14"/>
      <x:c r="C82" s="14"/>
      <x:c r="D82" s="25"/>
      <x:c r="E82" s="25"/>
      <x:c r="F82" s="22"/>
      <x:c r="G82" s="14"/>
      <x:c r="H82" s="25"/>
      <x:c r="I82" s="14" t="n">
        <x:f>IF(OR(G82="Paid",E82=""),0,MAX(0,TODAY()-E82))</x:f>
        <x:v>0</x:v>
      </x:c>
      <x:c r="J82" s="14"/>
      <x:c r="K82" s="14"/>
    </x:row>
    <x:row r="83">
      <x:c r="A83" s="14"/>
      <x:c r="B83" s="14"/>
      <x:c r="C83" s="14"/>
      <x:c r="D83" s="25"/>
      <x:c r="E83" s="25"/>
      <x:c r="F83" s="22"/>
      <x:c r="G83" s="14"/>
      <x:c r="H83" s="25"/>
      <x:c r="I83" s="14" t="n">
        <x:f>IF(OR(G83="Paid",E83=""),0,MAX(0,TODAY()-E83))</x:f>
        <x:v>0</x:v>
      </x:c>
      <x:c r="J83" s="14"/>
      <x:c r="K83" s="14"/>
    </x:row>
    <x:row r="84">
      <x:c r="A84" s="14"/>
      <x:c r="B84" s="14"/>
      <x:c r="C84" s="14"/>
      <x:c r="D84" s="25"/>
      <x:c r="E84" s="25"/>
      <x:c r="F84" s="22"/>
      <x:c r="G84" s="14"/>
      <x:c r="H84" s="25"/>
      <x:c r="I84" s="14" t="n">
        <x:f>IF(OR(G84="Paid",E84=""),0,MAX(0,TODAY()-E84))</x:f>
        <x:v>0</x:v>
      </x:c>
      <x:c r="J84" s="14"/>
      <x:c r="K84" s="14"/>
    </x:row>
    <x:row r="85">
      <x:c r="A85" s="14"/>
      <x:c r="B85" s="14"/>
      <x:c r="C85" s="14"/>
      <x:c r="D85" s="25"/>
      <x:c r="E85" s="25"/>
      <x:c r="F85" s="22"/>
      <x:c r="G85" s="14"/>
      <x:c r="H85" s="25"/>
      <x:c r="I85" s="14" t="n">
        <x:f>IF(OR(G85="Paid",E85=""),0,MAX(0,TODAY()-E85))</x:f>
        <x:v>0</x:v>
      </x:c>
      <x:c r="J85" s="14"/>
      <x:c r="K85" s="14"/>
    </x:row>
    <x:row r="86">
      <x:c r="A86" s="14"/>
      <x:c r="B86" s="14"/>
      <x:c r="C86" s="14"/>
      <x:c r="D86" s="25"/>
      <x:c r="E86" s="25"/>
      <x:c r="F86" s="22"/>
      <x:c r="G86" s="14"/>
      <x:c r="H86" s="25"/>
      <x:c r="I86" s="14" t="n">
        <x:f>IF(OR(G86="Paid",E86=""),0,MAX(0,TODAY()-E86))</x:f>
        <x:v>0</x:v>
      </x:c>
      <x:c r="J86" s="14"/>
      <x:c r="K86" s="14"/>
    </x:row>
    <x:row r="87">
      <x:c r="A87" s="14"/>
      <x:c r="B87" s="14"/>
      <x:c r="C87" s="14"/>
      <x:c r="D87" s="25"/>
      <x:c r="E87" s="25"/>
      <x:c r="F87" s="22"/>
      <x:c r="G87" s="14"/>
      <x:c r="H87" s="25"/>
      <x:c r="I87" s="14" t="n">
        <x:f>IF(OR(G87="Paid",E87=""),0,MAX(0,TODAY()-E87))</x:f>
        <x:v>0</x:v>
      </x:c>
      <x:c r="J87" s="14"/>
      <x:c r="K87" s="14"/>
    </x:row>
    <x:row r="88">
      <x:c r="A88" s="14"/>
      <x:c r="B88" s="14"/>
      <x:c r="C88" s="14"/>
      <x:c r="D88" s="25"/>
      <x:c r="E88" s="25"/>
      <x:c r="F88" s="22"/>
      <x:c r="G88" s="14"/>
      <x:c r="H88" s="25"/>
      <x:c r="I88" s="14" t="n">
        <x:f>IF(OR(G88="Paid",E88=""),0,MAX(0,TODAY()-E88))</x:f>
        <x:v>0</x:v>
      </x:c>
      <x:c r="J88" s="14"/>
      <x:c r="K88" s="14"/>
    </x:row>
    <x:row r="89">
      <x:c r="A89" s="14"/>
      <x:c r="B89" s="14"/>
      <x:c r="C89" s="14"/>
      <x:c r="D89" s="25"/>
      <x:c r="E89" s="25"/>
      <x:c r="F89" s="22"/>
      <x:c r="G89" s="14"/>
      <x:c r="H89" s="25"/>
      <x:c r="I89" s="14" t="n">
        <x:f>IF(OR(G89="Paid",E89=""),0,MAX(0,TODAY()-E89))</x:f>
        <x:v>0</x:v>
      </x:c>
      <x:c r="J89" s="14"/>
      <x:c r="K89" s="14"/>
    </x:row>
    <x:row r="90">
      <x:c r="A90" s="14"/>
      <x:c r="B90" s="14"/>
      <x:c r="C90" s="14"/>
      <x:c r="D90" s="25"/>
      <x:c r="E90" s="25"/>
      <x:c r="F90" s="22"/>
      <x:c r="G90" s="14"/>
      <x:c r="H90" s="25"/>
      <x:c r="I90" s="14" t="n">
        <x:f>IF(OR(G90="Paid",E90=""),0,MAX(0,TODAY()-E90))</x:f>
        <x:v>0</x:v>
      </x:c>
      <x:c r="J90" s="14"/>
      <x:c r="K90" s="14"/>
    </x:row>
    <x:row r="91">
      <x:c r="A91" s="14"/>
      <x:c r="B91" s="14"/>
      <x:c r="C91" s="14"/>
      <x:c r="D91" s="25"/>
      <x:c r="E91" s="25"/>
      <x:c r="F91" s="22"/>
      <x:c r="G91" s="14"/>
      <x:c r="H91" s="25"/>
      <x:c r="I91" s="14" t="n">
        <x:f>IF(OR(G91="Paid",E91=""),0,MAX(0,TODAY()-E91))</x:f>
        <x:v>0</x:v>
      </x:c>
      <x:c r="J91" s="14"/>
      <x:c r="K91" s="14"/>
    </x:row>
    <x:row r="92">
      <x:c r="A92" s="14"/>
      <x:c r="B92" s="14"/>
      <x:c r="C92" s="14"/>
      <x:c r="D92" s="25"/>
      <x:c r="E92" s="25"/>
      <x:c r="F92" s="22"/>
      <x:c r="G92" s="14"/>
      <x:c r="H92" s="25"/>
      <x:c r="I92" s="14" t="n">
        <x:f>IF(OR(G92="Paid",E92=""),0,MAX(0,TODAY()-E92))</x:f>
        <x:v>0</x:v>
      </x:c>
      <x:c r="J92" s="14"/>
      <x:c r="K92" s="14"/>
    </x:row>
    <x:row r="93">
      <x:c r="A93" s="14"/>
      <x:c r="B93" s="14"/>
      <x:c r="C93" s="14"/>
      <x:c r="D93" s="25"/>
      <x:c r="E93" s="25"/>
      <x:c r="F93" s="22"/>
      <x:c r="G93" s="14"/>
      <x:c r="H93" s="25"/>
      <x:c r="I93" s="14" t="n">
        <x:f>IF(OR(G93="Paid",E93=""),0,MAX(0,TODAY()-E93))</x:f>
        <x:v>0</x:v>
      </x:c>
      <x:c r="J93" s="14"/>
      <x:c r="K93" s="14"/>
    </x:row>
    <x:row r="94">
      <x:c r="A94" s="14"/>
      <x:c r="B94" s="14"/>
      <x:c r="C94" s="14"/>
      <x:c r="D94" s="25"/>
      <x:c r="E94" s="25"/>
      <x:c r="F94" s="22"/>
      <x:c r="G94" s="14"/>
      <x:c r="H94" s="25"/>
      <x:c r="I94" s="14" t="n">
        <x:f>IF(OR(G94="Paid",E94=""),0,MAX(0,TODAY()-E94))</x:f>
        <x:v>0</x:v>
      </x:c>
      <x:c r="J94" s="14"/>
      <x:c r="K94" s="14"/>
    </x:row>
    <x:row r="95">
      <x:c r="A95" s="14"/>
      <x:c r="B95" s="14"/>
      <x:c r="C95" s="14"/>
      <x:c r="D95" s="25"/>
      <x:c r="E95" s="25"/>
      <x:c r="F95" s="22"/>
      <x:c r="G95" s="14"/>
      <x:c r="H95" s="25"/>
      <x:c r="I95" s="14" t="n">
        <x:f>IF(OR(G95="Paid",E95=""),0,MAX(0,TODAY()-E95))</x:f>
        <x:v>0</x:v>
      </x:c>
      <x:c r="J95" s="14"/>
      <x:c r="K95" s="14"/>
    </x:row>
    <x:row r="96">
      <x:c r="A96" s="14"/>
      <x:c r="B96" s="14"/>
      <x:c r="C96" s="14"/>
      <x:c r="D96" s="25"/>
      <x:c r="E96" s="25"/>
      <x:c r="F96" s="22"/>
      <x:c r="G96" s="14"/>
      <x:c r="H96" s="25"/>
      <x:c r="I96" s="14" t="n">
        <x:f>IF(OR(G96="Paid",E96=""),0,MAX(0,TODAY()-E96))</x:f>
        <x:v>0</x:v>
      </x:c>
      <x:c r="J96" s="14"/>
      <x:c r="K96" s="14"/>
    </x:row>
    <x:row r="97">
      <x:c r="A97" s="14"/>
      <x:c r="B97" s="14"/>
      <x:c r="C97" s="14"/>
      <x:c r="D97" s="25"/>
      <x:c r="E97" s="25"/>
      <x:c r="F97" s="22"/>
      <x:c r="G97" s="14"/>
      <x:c r="H97" s="25"/>
      <x:c r="I97" s="14" t="n">
        <x:f>IF(OR(G97="Paid",E97=""),0,MAX(0,TODAY()-E97))</x:f>
        <x:v>0</x:v>
      </x:c>
      <x:c r="J97" s="14"/>
      <x:c r="K97" s="14"/>
    </x:row>
    <x:row r="98">
      <x:c r="A98" s="14"/>
      <x:c r="B98" s="14"/>
      <x:c r="C98" s="14"/>
      <x:c r="D98" s="25"/>
      <x:c r="E98" s="25"/>
      <x:c r="F98" s="22"/>
      <x:c r="G98" s="14"/>
      <x:c r="H98" s="25"/>
      <x:c r="I98" s="14" t="n">
        <x:f>IF(OR(G98="Paid",E98=""),0,MAX(0,TODAY()-E98))</x:f>
        <x:v>0</x:v>
      </x:c>
      <x:c r="J98" s="14"/>
      <x:c r="K98" s="14"/>
    </x:row>
    <x:row r="99">
      <x:c r="A99" s="14"/>
      <x:c r="B99" s="14"/>
      <x:c r="C99" s="14"/>
      <x:c r="D99" s="25"/>
      <x:c r="E99" s="25"/>
      <x:c r="F99" s="22"/>
      <x:c r="G99" s="14"/>
      <x:c r="H99" s="25"/>
      <x:c r="I99" s="14" t="n">
        <x:f>IF(OR(G99="Paid",E99=""),0,MAX(0,TODAY()-E99))</x:f>
        <x:v>0</x:v>
      </x:c>
      <x:c r="J99" s="14"/>
      <x:c r="K99" s="14"/>
    </x:row>
    <x:row r="100">
      <x:c r="A100" s="14"/>
      <x:c r="B100" s="14"/>
      <x:c r="C100" s="14"/>
      <x:c r="D100" s="25"/>
      <x:c r="E100" s="25"/>
      <x:c r="F100" s="22"/>
      <x:c r="G100" s="14"/>
      <x:c r="H100" s="25"/>
      <x:c r="I100" s="14" t="n">
        <x:f>IF(OR(G100="Paid",E100=""),0,MAX(0,TODAY()-E100))</x:f>
        <x:v>0</x:v>
      </x:c>
      <x:c r="J100" s="14"/>
      <x:c r="K100" s="14"/>
    </x:row>
    <x:row r="101">
      <x:c r="A101" s="14"/>
      <x:c r="B101" s="14"/>
      <x:c r="C101" s="14"/>
      <x:c r="D101" s="25"/>
      <x:c r="E101" s="25"/>
      <x:c r="F101" s="22"/>
      <x:c r="G101" s="14"/>
      <x:c r="H101" s="25"/>
      <x:c r="I101" s="14" t="n">
        <x:f>IF(OR(G101="Paid",E101=""),0,MAX(0,TODAY()-E101))</x:f>
        <x:v>0</x:v>
      </x:c>
      <x:c r="J101" s="14"/>
      <x:c r="K101" s="14"/>
    </x:row>
    <x:row r="102">
      <x:c r="A102" s="14"/>
      <x:c r="B102" s="14"/>
      <x:c r="C102" s="14"/>
      <x:c r="D102" s="25"/>
      <x:c r="E102" s="25"/>
      <x:c r="F102" s="22"/>
      <x:c r="G102" s="14"/>
      <x:c r="H102" s="25"/>
      <x:c r="I102" s="14" t="n">
        <x:f>IF(OR(G102="Paid",E102=""),0,MAX(0,TODAY()-E102))</x:f>
        <x:v>0</x:v>
      </x:c>
      <x:c r="J102" s="14"/>
      <x:c r="K102" s="14"/>
    </x:row>
    <x:row r="103">
      <x:c r="A103" s="14"/>
      <x:c r="B103" s="14"/>
      <x:c r="C103" s="14"/>
      <x:c r="D103" s="25"/>
      <x:c r="E103" s="25"/>
      <x:c r="F103" s="22"/>
      <x:c r="G103" s="14"/>
      <x:c r="H103" s="25"/>
      <x:c r="I103" s="14" t="n">
        <x:f>IF(OR(G103="Paid",E103=""),0,MAX(0,TODAY()-E103))</x:f>
        <x:v>0</x:v>
      </x:c>
      <x:c r="J103" s="14"/>
      <x:c r="K103" s="14"/>
    </x:row>
    <x:row r="104">
      <x:c r="A104" s="14"/>
      <x:c r="B104" s="14"/>
      <x:c r="C104" s="14"/>
      <x:c r="D104" s="25"/>
      <x:c r="E104" s="25"/>
      <x:c r="F104" s="22"/>
      <x:c r="G104" s="14"/>
      <x:c r="H104" s="25"/>
      <x:c r="I104" s="14" t="n">
        <x:f>IF(OR(G104="Paid",E104=""),0,MAX(0,TODAY()-E104))</x:f>
        <x:v>0</x:v>
      </x:c>
      <x:c r="J104" s="14"/>
      <x:c r="K104" s="14"/>
    </x:row>
    <x:row r="105">
      <x:c r="A105" s="14"/>
      <x:c r="B105" s="14"/>
      <x:c r="C105" s="14"/>
      <x:c r="D105" s="25"/>
      <x:c r="E105" s="25"/>
      <x:c r="F105" s="22"/>
      <x:c r="G105" s="14"/>
      <x:c r="H105" s="25"/>
      <x:c r="I105" s="14" t="n">
        <x:f>IF(OR(G105="Paid",E105=""),0,MAX(0,TODAY()-E105))</x:f>
        <x:v>0</x:v>
      </x:c>
      <x:c r="J105" s="14"/>
      <x:c r="K105" s="14"/>
    </x:row>
    <x:row r="106">
      <x:c r="A106" s="14"/>
      <x:c r="B106" s="14"/>
      <x:c r="C106" s="14"/>
      <x:c r="D106" s="25"/>
      <x:c r="E106" s="25"/>
      <x:c r="F106" s="22"/>
      <x:c r="G106" s="14"/>
      <x:c r="H106" s="25"/>
      <x:c r="I106" s="14" t="n">
        <x:f>IF(OR(G106="Paid",E106=""),0,MAX(0,TODAY()-E106))</x:f>
        <x:v>0</x:v>
      </x:c>
      <x:c r="J106" s="14"/>
      <x:c r="K106" s="14"/>
    </x:row>
    <x:row r="107">
      <x:c r="A107" s="14"/>
      <x:c r="B107" s="14"/>
      <x:c r="C107" s="14"/>
      <x:c r="D107" s="25"/>
      <x:c r="E107" s="25"/>
      <x:c r="F107" s="22"/>
      <x:c r="G107" s="14"/>
      <x:c r="H107" s="25"/>
      <x:c r="I107" s="14" t="n">
        <x:f>IF(OR(G107="Paid",E107=""),0,MAX(0,TODAY()-E107))</x:f>
        <x:v>0</x:v>
      </x:c>
      <x:c r="J107" s="14"/>
      <x:c r="K107" s="14"/>
    </x:row>
    <x:row r="108">
      <x:c r="A108" s="14"/>
      <x:c r="B108" s="14"/>
      <x:c r="C108" s="14"/>
      <x:c r="D108" s="25"/>
      <x:c r="E108" s="25"/>
      <x:c r="F108" s="22"/>
      <x:c r="G108" s="14"/>
      <x:c r="H108" s="25"/>
      <x:c r="I108" s="14" t="n">
        <x:f>IF(OR(G108="Paid",E108=""),0,MAX(0,TODAY()-E108))</x:f>
        <x:v>0</x:v>
      </x:c>
      <x:c r="J108" s="14"/>
      <x:c r="K108" s="14"/>
    </x:row>
    <x:row r="109">
      <x:c r="A109" s="14"/>
      <x:c r="B109" s="14"/>
      <x:c r="C109" s="14"/>
      <x:c r="D109" s="25"/>
      <x:c r="E109" s="25"/>
      <x:c r="F109" s="22"/>
      <x:c r="G109" s="14"/>
      <x:c r="H109" s="25"/>
      <x:c r="I109" s="14" t="n">
        <x:f>IF(OR(G109="Paid",E109=""),0,MAX(0,TODAY()-E109))</x:f>
        <x:v>0</x:v>
      </x:c>
      <x:c r="J109" s="14"/>
      <x:c r="K109" s="14"/>
    </x:row>
    <x:row r="110">
      <x:c r="A110" s="14"/>
      <x:c r="B110" s="14"/>
      <x:c r="C110" s="14"/>
      <x:c r="D110" s="25"/>
      <x:c r="E110" s="25"/>
      <x:c r="F110" s="22"/>
      <x:c r="G110" s="14"/>
      <x:c r="H110" s="25"/>
      <x:c r="I110" s="14" t="n">
        <x:f>IF(OR(G110="Paid",E110=""),0,MAX(0,TODAY()-E110))</x:f>
        <x:v>0</x:v>
      </x:c>
      <x:c r="J110" s="14"/>
      <x:c r="K110" s="14"/>
    </x:row>
    <x:row r="111">
      <x:c r="A111" s="14"/>
      <x:c r="B111" s="14"/>
      <x:c r="C111" s="14"/>
      <x:c r="D111" s="25"/>
      <x:c r="E111" s="25"/>
      <x:c r="F111" s="22"/>
      <x:c r="G111" s="14"/>
      <x:c r="H111" s="25"/>
      <x:c r="I111" s="14" t="n">
        <x:f>IF(OR(G111="Paid",E111=""),0,MAX(0,TODAY()-E111))</x:f>
        <x:v>0</x:v>
      </x:c>
      <x:c r="J111" s="14"/>
      <x:c r="K111" s="14"/>
    </x:row>
    <x:row r="112">
      <x:c r="A112" s="14"/>
      <x:c r="B112" s="14"/>
      <x:c r="C112" s="14"/>
      <x:c r="D112" s="25"/>
      <x:c r="E112" s="25"/>
      <x:c r="F112" s="22"/>
      <x:c r="G112" s="14"/>
      <x:c r="H112" s="25"/>
      <x:c r="I112" s="14" t="n">
        <x:f>IF(OR(G112="Paid",E112=""),0,MAX(0,TODAY()-E112))</x:f>
        <x:v>0</x:v>
      </x:c>
      <x:c r="J112" s="14"/>
      <x:c r="K112" s="14"/>
    </x:row>
    <x:row r="113">
      <x:c r="A113" s="14"/>
      <x:c r="B113" s="14"/>
      <x:c r="C113" s="14"/>
      <x:c r="D113" s="25"/>
      <x:c r="E113" s="25"/>
      <x:c r="F113" s="22"/>
      <x:c r="G113" s="14"/>
      <x:c r="H113" s="25"/>
      <x:c r="I113" s="14" t="n">
        <x:f>IF(OR(G113="Paid",E113=""),0,MAX(0,TODAY()-E113))</x:f>
        <x:v>0</x:v>
      </x:c>
      <x:c r="J113" s="14"/>
      <x:c r="K113" s="14"/>
    </x:row>
    <x:row r="114">
      <x:c r="A114" s="14"/>
      <x:c r="B114" s="14"/>
      <x:c r="C114" s="14"/>
      <x:c r="D114" s="25"/>
      <x:c r="E114" s="25"/>
      <x:c r="F114" s="22"/>
      <x:c r="G114" s="14"/>
      <x:c r="H114" s="25"/>
      <x:c r="I114" s="14" t="n">
        <x:f>IF(OR(G114="Paid",E114=""),0,MAX(0,TODAY()-E114))</x:f>
        <x:v>0</x:v>
      </x:c>
      <x:c r="J114" s="14"/>
      <x:c r="K114" s="14"/>
    </x:row>
    <x:row r="115">
      <x:c r="A115" s="14"/>
      <x:c r="B115" s="14"/>
      <x:c r="C115" s="14"/>
      <x:c r="D115" s="25"/>
      <x:c r="E115" s="25"/>
      <x:c r="F115" s="22"/>
      <x:c r="G115" s="14"/>
      <x:c r="H115" s="25"/>
      <x:c r="I115" s="14" t="n">
        <x:f>IF(OR(G115="Paid",E115=""),0,MAX(0,TODAY()-E115))</x:f>
        <x:v>0</x:v>
      </x:c>
      <x:c r="J115" s="14"/>
      <x:c r="K115" s="14"/>
    </x:row>
    <x:row r="116">
      <x:c r="A116" s="14"/>
      <x:c r="B116" s="14"/>
      <x:c r="C116" s="14"/>
      <x:c r="D116" s="25"/>
      <x:c r="E116" s="25"/>
      <x:c r="F116" s="22"/>
      <x:c r="G116" s="14"/>
      <x:c r="H116" s="25"/>
      <x:c r="I116" s="14" t="n">
        <x:f>IF(OR(G116="Paid",E116=""),0,MAX(0,TODAY()-E116))</x:f>
        <x:v>0</x:v>
      </x:c>
      <x:c r="J116" s="14"/>
      <x:c r="K116" s="14"/>
    </x:row>
    <x:row r="117">
      <x:c r="A117" s="14"/>
      <x:c r="B117" s="14"/>
      <x:c r="C117" s="14"/>
      <x:c r="D117" s="25"/>
      <x:c r="E117" s="25"/>
      <x:c r="F117" s="22"/>
      <x:c r="G117" s="14"/>
      <x:c r="H117" s="25"/>
      <x:c r="I117" s="14" t="n">
        <x:f>IF(OR(G117="Paid",E117=""),0,MAX(0,TODAY()-E117))</x:f>
        <x:v>0</x:v>
      </x:c>
      <x:c r="J117" s="14"/>
      <x:c r="K117" s="14"/>
    </x:row>
    <x:row r="118">
      <x:c r="A118" s="14"/>
      <x:c r="B118" s="14"/>
      <x:c r="C118" s="14"/>
      <x:c r="D118" s="25"/>
      <x:c r="E118" s="25"/>
      <x:c r="F118" s="22"/>
      <x:c r="G118" s="14"/>
      <x:c r="H118" s="25"/>
      <x:c r="I118" s="14" t="n">
        <x:f>IF(OR(G118="Paid",E118=""),0,MAX(0,TODAY()-E118))</x:f>
        <x:v>0</x:v>
      </x:c>
      <x:c r="J118" s="14"/>
      <x:c r="K118" s="14"/>
    </x:row>
    <x:row r="119">
      <x:c r="A119" s="14"/>
      <x:c r="B119" s="14"/>
      <x:c r="C119" s="14"/>
      <x:c r="D119" s="25"/>
      <x:c r="E119" s="25"/>
      <x:c r="F119" s="22"/>
      <x:c r="G119" s="14"/>
      <x:c r="H119" s="25"/>
      <x:c r="I119" s="14" t="n">
        <x:f>IF(OR(G119="Paid",E119=""),0,MAX(0,TODAY()-E119))</x:f>
        <x:v>0</x:v>
      </x:c>
      <x:c r="J119" s="14"/>
      <x:c r="K119" s="14"/>
    </x:row>
    <x:row r="120">
      <x:c r="A120" s="14"/>
      <x:c r="B120" s="14"/>
      <x:c r="C120" s="14"/>
      <x:c r="D120" s="25"/>
      <x:c r="E120" s="25"/>
      <x:c r="F120" s="22"/>
      <x:c r="G120" s="14"/>
      <x:c r="H120" s="25"/>
      <x:c r="I120" s="14" t="n">
        <x:f>IF(OR(G120="Paid",E120=""),0,MAX(0,TODAY()-E120))</x:f>
        <x:v>0</x:v>
      </x:c>
      <x:c r="J120" s="14"/>
      <x:c r="K120" s="14"/>
    </x:row>
    <x:row r="121">
      <x:c r="A121" s="14"/>
      <x:c r="B121" s="14"/>
      <x:c r="C121" s="14"/>
      <x:c r="D121" s="25"/>
      <x:c r="E121" s="25"/>
      <x:c r="F121" s="22"/>
      <x:c r="G121" s="14"/>
      <x:c r="H121" s="25"/>
      <x:c r="I121" s="14" t="n">
        <x:f>IF(OR(G121="Paid",E121=""),0,MAX(0,TODAY()-E121))</x:f>
        <x:v>0</x:v>
      </x:c>
      <x:c r="J121" s="14"/>
      <x:c r="K121" s="14"/>
    </x:row>
    <x:row r="122">
      <x:c r="A122" s="14"/>
      <x:c r="B122" s="14"/>
      <x:c r="C122" s="14"/>
      <x:c r="D122" s="25"/>
      <x:c r="E122" s="25"/>
      <x:c r="F122" s="22"/>
      <x:c r="G122" s="14"/>
      <x:c r="H122" s="25"/>
      <x:c r="I122" s="14" t="n">
        <x:f>IF(OR(G122="Paid",E122=""),0,MAX(0,TODAY()-E122))</x:f>
        <x:v>0</x:v>
      </x:c>
      <x:c r="J122" s="14"/>
      <x:c r="K122" s="14"/>
    </x:row>
    <x:row r="123">
      <x:c r="A123" s="14"/>
      <x:c r="B123" s="14"/>
      <x:c r="C123" s="14"/>
      <x:c r="D123" s="25"/>
      <x:c r="E123" s="25"/>
      <x:c r="F123" s="22"/>
      <x:c r="G123" s="14"/>
      <x:c r="H123" s="25"/>
      <x:c r="I123" s="14" t="n">
        <x:f>IF(OR(G123="Paid",E123=""),0,MAX(0,TODAY()-E123))</x:f>
        <x:v>0</x:v>
      </x:c>
      <x:c r="J123" s="14"/>
      <x:c r="K123" s="14"/>
    </x:row>
    <x:row r="124">
      <x:c r="A124" s="14"/>
      <x:c r="B124" s="14"/>
      <x:c r="C124" s="14"/>
      <x:c r="D124" s="25"/>
      <x:c r="E124" s="25"/>
      <x:c r="F124" s="22"/>
      <x:c r="G124" s="14"/>
      <x:c r="H124" s="25"/>
      <x:c r="I124" s="14" t="n">
        <x:f>IF(OR(G124="Paid",E124=""),0,MAX(0,TODAY()-E124))</x:f>
        <x:v>0</x:v>
      </x:c>
      <x:c r="J124" s="14"/>
      <x:c r="K124" s="14"/>
    </x:row>
    <x:row r="125">
      <x:c r="A125" s="14"/>
      <x:c r="B125" s="14"/>
      <x:c r="C125" s="14"/>
      <x:c r="D125" s="25"/>
      <x:c r="E125" s="25"/>
      <x:c r="F125" s="22"/>
      <x:c r="G125" s="14"/>
      <x:c r="H125" s="25"/>
      <x:c r="I125" s="14" t="n">
        <x:f>IF(OR(G125="Paid",E125=""),0,MAX(0,TODAY()-E125))</x:f>
        <x:v>0</x:v>
      </x:c>
      <x:c r="J125" s="14"/>
      <x:c r="K125" s="14"/>
    </x:row>
    <x:row r="126">
      <x:c r="A126" s="14"/>
      <x:c r="B126" s="14"/>
      <x:c r="C126" s="14"/>
      <x:c r="D126" s="25"/>
      <x:c r="E126" s="25"/>
      <x:c r="F126" s="22"/>
      <x:c r="G126" s="14"/>
      <x:c r="H126" s="25"/>
      <x:c r="I126" s="14" t="n">
        <x:f>IF(OR(G126="Paid",E126=""),0,MAX(0,TODAY()-E126))</x:f>
        <x:v>0</x:v>
      </x:c>
      <x:c r="J126" s="14"/>
      <x:c r="K126" s="14"/>
    </x:row>
    <x:row r="127">
      <x:c r="A127" s="14"/>
      <x:c r="B127" s="14"/>
      <x:c r="C127" s="14"/>
      <x:c r="D127" s="25"/>
      <x:c r="E127" s="25"/>
      <x:c r="F127" s="22"/>
      <x:c r="G127" s="14"/>
      <x:c r="H127" s="25"/>
      <x:c r="I127" s="14" t="n">
        <x:f>IF(OR(G127="Paid",E127=""),0,MAX(0,TODAY()-E127))</x:f>
        <x:v>0</x:v>
      </x:c>
      <x:c r="J127" s="14"/>
      <x:c r="K127" s="14"/>
    </x:row>
    <x:row r="128">
      <x:c r="A128" s="14"/>
      <x:c r="B128" s="14"/>
      <x:c r="C128" s="14"/>
      <x:c r="D128" s="25"/>
      <x:c r="E128" s="25"/>
      <x:c r="F128" s="22"/>
      <x:c r="G128" s="14"/>
      <x:c r="H128" s="25"/>
      <x:c r="I128" s="14" t="n">
        <x:f>IF(OR(G128="Paid",E128=""),0,MAX(0,TODAY()-E128))</x:f>
        <x:v>0</x:v>
      </x:c>
      <x:c r="J128" s="14"/>
      <x:c r="K128" s="14"/>
    </x:row>
    <x:row r="129">
      <x:c r="A129" s="14"/>
      <x:c r="B129" s="14"/>
      <x:c r="C129" s="14"/>
      <x:c r="D129" s="25"/>
      <x:c r="E129" s="25"/>
      <x:c r="F129" s="22"/>
      <x:c r="G129" s="14"/>
      <x:c r="H129" s="25"/>
      <x:c r="I129" s="14" t="n">
        <x:f>IF(OR(G129="Paid",E129=""),0,MAX(0,TODAY()-E129))</x:f>
        <x:v>0</x:v>
      </x:c>
      <x:c r="J129" s="14"/>
      <x:c r="K129" s="14"/>
    </x:row>
    <x:row r="130">
      <x:c r="A130" s="14"/>
      <x:c r="B130" s="14"/>
      <x:c r="C130" s="14"/>
      <x:c r="D130" s="25"/>
      <x:c r="E130" s="25"/>
      <x:c r="F130" s="22"/>
      <x:c r="G130" s="14"/>
      <x:c r="H130" s="25"/>
      <x:c r="I130" s="14" t="n">
        <x:f>IF(OR(G130="Paid",E130=""),0,MAX(0,TODAY()-E130))</x:f>
        <x:v>0</x:v>
      </x:c>
      <x:c r="J130" s="14"/>
      <x:c r="K130" s="14"/>
    </x:row>
    <x:row r="131">
      <x:c r="A131" s="14"/>
      <x:c r="B131" s="14"/>
      <x:c r="C131" s="14"/>
      <x:c r="D131" s="25"/>
      <x:c r="E131" s="25"/>
      <x:c r="F131" s="22"/>
      <x:c r="G131" s="14"/>
      <x:c r="H131" s="25"/>
      <x:c r="I131" s="14" t="n">
        <x:f>IF(OR(G131="Paid",E131=""),0,MAX(0,TODAY()-E131))</x:f>
        <x:v>0</x:v>
      </x:c>
      <x:c r="J131" s="14"/>
      <x:c r="K131" s="14"/>
    </x:row>
    <x:row r="132">
      <x:c r="A132" s="14"/>
      <x:c r="B132" s="14"/>
      <x:c r="C132" s="14"/>
      <x:c r="D132" s="25"/>
      <x:c r="E132" s="25"/>
      <x:c r="F132" s="22"/>
      <x:c r="G132" s="14"/>
      <x:c r="H132" s="25"/>
      <x:c r="I132" s="14" t="n">
        <x:f>IF(OR(G132="Paid",E132=""),0,MAX(0,TODAY()-E132))</x:f>
        <x:v>0</x:v>
      </x:c>
      <x:c r="J132" s="14"/>
      <x:c r="K132" s="14"/>
    </x:row>
    <x:row r="133">
      <x:c r="A133" s="14"/>
      <x:c r="B133" s="14"/>
      <x:c r="C133" s="14"/>
      <x:c r="D133" s="25"/>
      <x:c r="E133" s="25"/>
      <x:c r="F133" s="22"/>
      <x:c r="G133" s="14"/>
      <x:c r="H133" s="25"/>
      <x:c r="I133" s="14" t="n">
        <x:f>IF(OR(G133="Paid",E133=""),0,MAX(0,TODAY()-E133))</x:f>
        <x:v>0</x:v>
      </x:c>
      <x:c r="J133" s="14"/>
      <x:c r="K133" s="14"/>
    </x:row>
    <x:row r="134">
      <x:c r="A134" s="14"/>
      <x:c r="B134" s="14"/>
      <x:c r="C134" s="14"/>
      <x:c r="D134" s="25"/>
      <x:c r="E134" s="25"/>
      <x:c r="F134" s="22"/>
      <x:c r="G134" s="14"/>
      <x:c r="H134" s="25"/>
      <x:c r="I134" s="14" t="n">
        <x:f>IF(OR(G134="Paid",E134=""),0,MAX(0,TODAY()-E134))</x:f>
        <x:v>0</x:v>
      </x:c>
      <x:c r="J134" s="14"/>
      <x:c r="K134" s="14"/>
    </x:row>
    <x:row r="135">
      <x:c r="A135" s="14"/>
      <x:c r="B135" s="14"/>
      <x:c r="C135" s="14"/>
      <x:c r="D135" s="25"/>
      <x:c r="E135" s="25"/>
      <x:c r="F135" s="22"/>
      <x:c r="G135" s="14"/>
      <x:c r="H135" s="25"/>
      <x:c r="I135" s="14" t="n">
        <x:f>IF(OR(G135="Paid",E135=""),0,MAX(0,TODAY()-E135))</x:f>
        <x:v>0</x:v>
      </x:c>
      <x:c r="J135" s="14"/>
      <x:c r="K135" s="14"/>
    </x:row>
    <x:row r="136">
      <x:c r="A136" s="14"/>
      <x:c r="B136" s="14"/>
      <x:c r="C136" s="14"/>
      <x:c r="D136" s="25"/>
      <x:c r="E136" s="25"/>
      <x:c r="F136" s="22"/>
      <x:c r="G136" s="14"/>
      <x:c r="H136" s="25"/>
      <x:c r="I136" s="14" t="n">
        <x:f>IF(OR(G136="Paid",E136=""),0,MAX(0,TODAY()-E136))</x:f>
        <x:v>0</x:v>
      </x:c>
      <x:c r="J136" s="14"/>
      <x:c r="K136" s="14"/>
    </x:row>
    <x:row r="137">
      <x:c r="A137" s="14"/>
      <x:c r="B137" s="14"/>
      <x:c r="C137" s="14"/>
      <x:c r="D137" s="25"/>
      <x:c r="E137" s="25"/>
      <x:c r="F137" s="22"/>
      <x:c r="G137" s="14"/>
      <x:c r="H137" s="25"/>
      <x:c r="I137" s="14" t="n">
        <x:f>IF(OR(G137="Paid",E137=""),0,MAX(0,TODAY()-E137))</x:f>
        <x:v>0</x:v>
      </x:c>
      <x:c r="J137" s="14"/>
      <x:c r="K137" s="14"/>
    </x:row>
    <x:row r="138">
      <x:c r="A138" s="14"/>
      <x:c r="B138" s="14"/>
      <x:c r="C138" s="14"/>
      <x:c r="D138" s="25"/>
      <x:c r="E138" s="25"/>
      <x:c r="F138" s="22"/>
      <x:c r="G138" s="14"/>
      <x:c r="H138" s="25"/>
      <x:c r="I138" s="14" t="n">
        <x:f>IF(OR(G138="Paid",E138=""),0,MAX(0,TODAY()-E138))</x:f>
        <x:v>0</x:v>
      </x:c>
      <x:c r="J138" s="14"/>
      <x:c r="K138" s="14"/>
    </x:row>
    <x:row r="139">
      <x:c r="A139" s="14"/>
      <x:c r="B139" s="14"/>
      <x:c r="C139" s="14"/>
      <x:c r="D139" s="25"/>
      <x:c r="E139" s="25"/>
      <x:c r="F139" s="22"/>
      <x:c r="G139" s="14"/>
      <x:c r="H139" s="25"/>
      <x:c r="I139" s="14" t="n">
        <x:f>IF(OR(G139="Paid",E139=""),0,MAX(0,TODAY()-E139))</x:f>
        <x:v>0</x:v>
      </x:c>
      <x:c r="J139" s="14"/>
      <x:c r="K139" s="14"/>
    </x:row>
    <x:row r="140">
      <x:c r="A140" s="14"/>
      <x:c r="B140" s="14"/>
      <x:c r="C140" s="14"/>
      <x:c r="D140" s="25"/>
      <x:c r="E140" s="25"/>
      <x:c r="F140" s="22"/>
      <x:c r="G140" s="14"/>
      <x:c r="H140" s="25"/>
      <x:c r="I140" s="14" t="n">
        <x:f>IF(OR(G140="Paid",E140=""),0,MAX(0,TODAY()-E140))</x:f>
        <x:v>0</x:v>
      </x:c>
      <x:c r="J140" s="14"/>
      <x:c r="K140" s="14"/>
    </x:row>
    <x:row r="141">
      <x:c r="A141" s="14"/>
      <x:c r="B141" s="14"/>
      <x:c r="C141" s="14"/>
      <x:c r="D141" s="25"/>
      <x:c r="E141" s="25"/>
      <x:c r="F141" s="22"/>
      <x:c r="G141" s="14"/>
      <x:c r="H141" s="25"/>
      <x:c r="I141" s="14" t="n">
        <x:f>IF(OR(G141="Paid",E141=""),0,MAX(0,TODAY()-E141))</x:f>
        <x:v>0</x:v>
      </x:c>
      <x:c r="J141" s="14"/>
      <x:c r="K141" s="14"/>
    </x:row>
    <x:row r="142">
      <x:c r="A142" s="14"/>
      <x:c r="B142" s="14"/>
      <x:c r="C142" s="14"/>
      <x:c r="D142" s="25"/>
      <x:c r="E142" s="25"/>
      <x:c r="F142" s="22"/>
      <x:c r="G142" s="14"/>
      <x:c r="H142" s="25"/>
      <x:c r="I142" s="14" t="n">
        <x:f>IF(OR(G142="Paid",E142=""),0,MAX(0,TODAY()-E142))</x:f>
        <x:v>0</x:v>
      </x:c>
      <x:c r="J142" s="14"/>
      <x:c r="K142" s="14"/>
    </x:row>
    <x:row r="143">
      <x:c r="A143" s="14"/>
      <x:c r="B143" s="14"/>
      <x:c r="C143" s="14"/>
      <x:c r="D143" s="25"/>
      <x:c r="E143" s="25"/>
      <x:c r="F143" s="22"/>
      <x:c r="G143" s="14"/>
      <x:c r="H143" s="25"/>
      <x:c r="I143" s="14" t="n">
        <x:f>IF(OR(G143="Paid",E143=""),0,MAX(0,TODAY()-E143))</x:f>
        <x:v>0</x:v>
      </x:c>
      <x:c r="J143" s="14"/>
      <x:c r="K143" s="14"/>
    </x:row>
    <x:row r="144">
      <x:c r="A144" s="14"/>
      <x:c r="B144" s="14"/>
      <x:c r="C144" s="14"/>
      <x:c r="D144" s="25"/>
      <x:c r="E144" s="25"/>
      <x:c r="F144" s="22"/>
      <x:c r="G144" s="14"/>
      <x:c r="H144" s="25"/>
      <x:c r="I144" s="14" t="n">
        <x:f>IF(OR(G144="Paid",E144=""),0,MAX(0,TODAY()-E144))</x:f>
        <x:v>0</x:v>
      </x:c>
      <x:c r="J144" s="14"/>
      <x:c r="K144" s="14"/>
    </x:row>
    <x:row r="145">
      <x:c r="A145" s="14"/>
      <x:c r="B145" s="14"/>
      <x:c r="C145" s="14"/>
      <x:c r="D145" s="25"/>
      <x:c r="E145" s="25"/>
      <x:c r="F145" s="22"/>
      <x:c r="G145" s="14"/>
      <x:c r="H145" s="25"/>
      <x:c r="I145" s="14" t="n">
        <x:f>IF(OR(G145="Paid",E145=""),0,MAX(0,TODAY()-E145))</x:f>
        <x:v>0</x:v>
      </x:c>
      <x:c r="J145" s="14"/>
      <x:c r="K145" s="14"/>
    </x:row>
    <x:row r="146">
      <x:c r="A146" s="14"/>
      <x:c r="B146" s="14"/>
      <x:c r="C146" s="14"/>
      <x:c r="D146" s="25"/>
      <x:c r="E146" s="25"/>
      <x:c r="F146" s="22"/>
      <x:c r="G146" s="14"/>
      <x:c r="H146" s="25"/>
      <x:c r="I146" s="14" t="n">
        <x:f>IF(OR(G146="Paid",E146=""),0,MAX(0,TODAY()-E146))</x:f>
        <x:v>0</x:v>
      </x:c>
      <x:c r="J146" s="14"/>
      <x:c r="K146" s="14"/>
    </x:row>
    <x:row r="147">
      <x:c r="A147" s="14"/>
      <x:c r="B147" s="14"/>
      <x:c r="C147" s="14"/>
      <x:c r="D147" s="25"/>
      <x:c r="E147" s="25"/>
      <x:c r="F147" s="22"/>
      <x:c r="G147" s="14"/>
      <x:c r="H147" s="25"/>
      <x:c r="I147" s="14" t="n">
        <x:f>IF(OR(G147="Paid",E147=""),0,MAX(0,TODAY()-E147))</x:f>
        <x:v>0</x:v>
      </x:c>
      <x:c r="J147" s="14"/>
      <x:c r="K147" s="14"/>
    </x:row>
    <x:row r="148">
      <x:c r="A148" s="14"/>
      <x:c r="B148" s="14"/>
      <x:c r="C148" s="14"/>
      <x:c r="D148" s="25"/>
      <x:c r="E148" s="25"/>
      <x:c r="F148" s="22"/>
      <x:c r="G148" s="14"/>
      <x:c r="H148" s="25"/>
      <x:c r="I148" s="14" t="n">
        <x:f>IF(OR(G148="Paid",E148=""),0,MAX(0,TODAY()-E148))</x:f>
        <x:v>0</x:v>
      </x:c>
      <x:c r="J148" s="14"/>
      <x:c r="K148" s="14"/>
    </x:row>
    <x:row r="149">
      <x:c r="A149" s="14"/>
      <x:c r="B149" s="14"/>
      <x:c r="C149" s="14"/>
      <x:c r="D149" s="25"/>
      <x:c r="E149" s="25"/>
      <x:c r="F149" s="22"/>
      <x:c r="G149" s="14"/>
      <x:c r="H149" s="25"/>
      <x:c r="I149" s="14" t="n">
        <x:f>IF(OR(G149="Paid",E149=""),0,MAX(0,TODAY()-E149))</x:f>
        <x:v>0</x:v>
      </x:c>
      <x:c r="J149" s="14"/>
      <x:c r="K149" s="14"/>
    </x:row>
    <x:row r="150">
      <x:c r="A150" s="14"/>
      <x:c r="B150" s="14"/>
      <x:c r="C150" s="14"/>
      <x:c r="D150" s="25"/>
      <x:c r="E150" s="25"/>
      <x:c r="F150" s="22"/>
      <x:c r="G150" s="14"/>
      <x:c r="H150" s="25"/>
      <x:c r="I150" s="14" t="n">
        <x:f>IF(OR(G150="Paid",E150=""),0,MAX(0,TODAY()-E150))</x:f>
        <x:v>0</x:v>
      </x:c>
      <x:c r="J150" s="14"/>
      <x:c r="K150" s="14"/>
    </x:row>
    <x:row r="151">
      <x:c r="A151" s="14"/>
      <x:c r="B151" s="14"/>
      <x:c r="C151" s="14"/>
      <x:c r="D151" s="25"/>
      <x:c r="E151" s="25"/>
      <x:c r="F151" s="22"/>
      <x:c r="G151" s="14"/>
      <x:c r="H151" s="25"/>
      <x:c r="I151" s="14" t="n">
        <x:f>IF(OR(G151="Paid",E151=""),0,MAX(0,TODAY()-E151))</x:f>
        <x:v>0</x:v>
      </x:c>
      <x:c r="J151" s="14"/>
      <x:c r="K151" s="14"/>
    </x:row>
    <x:row r="152">
      <x:c r="A152" s="14"/>
      <x:c r="B152" s="14"/>
      <x:c r="C152" s="14"/>
      <x:c r="D152" s="25"/>
      <x:c r="E152" s="25"/>
      <x:c r="F152" s="22"/>
      <x:c r="G152" s="14"/>
      <x:c r="H152" s="25"/>
      <x:c r="I152" s="14" t="n">
        <x:f>IF(OR(G152="Paid",E152=""),0,MAX(0,TODAY()-E152))</x:f>
        <x:v>0</x:v>
      </x:c>
      <x:c r="J152" s="14"/>
      <x:c r="K152" s="14"/>
    </x:row>
    <x:row r="153">
      <x:c r="A153" s="14"/>
      <x:c r="B153" s="14"/>
      <x:c r="C153" s="14"/>
      <x:c r="D153" s="25"/>
      <x:c r="E153" s="25"/>
      <x:c r="F153" s="22"/>
      <x:c r="G153" s="14"/>
      <x:c r="H153" s="25"/>
      <x:c r="I153" s="14" t="n">
        <x:f>IF(OR(G153="Paid",E153=""),0,MAX(0,TODAY()-E153))</x:f>
        <x:v>0</x:v>
      </x:c>
      <x:c r="J153" s="14"/>
      <x:c r="K153" s="14"/>
    </x:row>
    <x:row r="154">
      <x:c r="A154" s="14"/>
      <x:c r="B154" s="14"/>
      <x:c r="C154" s="14"/>
      <x:c r="D154" s="25"/>
      <x:c r="E154" s="25"/>
      <x:c r="F154" s="22"/>
      <x:c r="G154" s="14"/>
      <x:c r="H154" s="25"/>
      <x:c r="I154" s="14" t="n">
        <x:f>IF(OR(G154="Paid",E154=""),0,MAX(0,TODAY()-E154))</x:f>
        <x:v>0</x:v>
      </x:c>
      <x:c r="J154" s="14"/>
      <x:c r="K154" s="14"/>
    </x:row>
    <x:row r="155">
      <x:c r="A155" s="14"/>
      <x:c r="B155" s="14"/>
      <x:c r="C155" s="14"/>
      <x:c r="D155" s="25"/>
      <x:c r="E155" s="25"/>
      <x:c r="F155" s="22"/>
      <x:c r="G155" s="14"/>
      <x:c r="H155" s="25"/>
      <x:c r="I155" s="14" t="n">
        <x:f>IF(OR(G155="Paid",E155=""),0,MAX(0,TODAY()-E155))</x:f>
        <x:v>0</x:v>
      </x:c>
      <x:c r="J155" s="14"/>
      <x:c r="K155" s="14"/>
    </x:row>
    <x:row r="156">
      <x:c r="A156" s="14"/>
      <x:c r="B156" s="14"/>
      <x:c r="C156" s="14"/>
      <x:c r="D156" s="25"/>
      <x:c r="E156" s="25"/>
      <x:c r="F156" s="22"/>
      <x:c r="G156" s="14"/>
      <x:c r="H156" s="25"/>
      <x:c r="I156" s="14" t="n">
        <x:f>IF(OR(G156="Paid",E156=""),0,MAX(0,TODAY()-E156))</x:f>
        <x:v>0</x:v>
      </x:c>
      <x:c r="J156" s="14"/>
      <x:c r="K156" s="14"/>
    </x:row>
    <x:row r="157">
      <x:c r="A157" s="14"/>
      <x:c r="B157" s="14"/>
      <x:c r="C157" s="14"/>
      <x:c r="D157" s="25"/>
      <x:c r="E157" s="25"/>
      <x:c r="F157" s="22"/>
      <x:c r="G157" s="14"/>
      <x:c r="H157" s="25"/>
      <x:c r="I157" s="14" t="n">
        <x:f>IF(OR(G157="Paid",E157=""),0,MAX(0,TODAY()-E157))</x:f>
        <x:v>0</x:v>
      </x:c>
      <x:c r="J157" s="14"/>
      <x:c r="K157" s="14"/>
    </x:row>
    <x:row r="158">
      <x:c r="A158" s="14"/>
      <x:c r="B158" s="14"/>
      <x:c r="C158" s="14"/>
      <x:c r="D158" s="25"/>
      <x:c r="E158" s="25"/>
      <x:c r="F158" s="22"/>
      <x:c r="G158" s="14"/>
      <x:c r="H158" s="25"/>
      <x:c r="I158" s="14" t="n">
        <x:f>IF(OR(G158="Paid",E158=""),0,MAX(0,TODAY()-E158))</x:f>
        <x:v>0</x:v>
      </x:c>
      <x:c r="J158" s="14"/>
      <x:c r="K158" s="14"/>
    </x:row>
    <x:row r="159">
      <x:c r="A159" s="14"/>
      <x:c r="B159" s="14"/>
      <x:c r="C159" s="14"/>
      <x:c r="D159" s="25"/>
      <x:c r="E159" s="25"/>
      <x:c r="F159" s="22"/>
      <x:c r="G159" s="14"/>
      <x:c r="H159" s="25"/>
      <x:c r="I159" s="14" t="n">
        <x:f>IF(OR(G159="Paid",E159=""),0,MAX(0,TODAY()-E159))</x:f>
        <x:v>0</x:v>
      </x:c>
      <x:c r="J159" s="14"/>
      <x:c r="K159" s="14"/>
    </x:row>
    <x:row r="160">
      <x:c r="A160" s="14"/>
      <x:c r="B160" s="14"/>
      <x:c r="C160" s="14"/>
      <x:c r="D160" s="25"/>
      <x:c r="E160" s="25"/>
      <x:c r="F160" s="22"/>
      <x:c r="G160" s="14"/>
      <x:c r="H160" s="25"/>
      <x:c r="I160" s="14" t="n">
        <x:f>IF(OR(G160="Paid",E160=""),0,MAX(0,TODAY()-E160))</x:f>
        <x:v>0</x:v>
      </x:c>
      <x:c r="J160" s="14"/>
      <x:c r="K160" s="14"/>
    </x:row>
    <x:row r="161">
      <x:c r="A161" s="14"/>
      <x:c r="B161" s="14"/>
      <x:c r="C161" s="14"/>
      <x:c r="D161" s="25"/>
      <x:c r="E161" s="25"/>
      <x:c r="F161" s="22"/>
      <x:c r="G161" s="14"/>
      <x:c r="H161" s="25"/>
      <x:c r="I161" s="14" t="n">
        <x:f>IF(OR(G161="Paid",E161=""),0,MAX(0,TODAY()-E161))</x:f>
        <x:v>0</x:v>
      </x:c>
      <x:c r="J161" s="14"/>
      <x:c r="K161" s="14"/>
    </x:row>
    <x:row r="162">
      <x:c r="A162" s="14"/>
      <x:c r="B162" s="14"/>
      <x:c r="C162" s="14"/>
      <x:c r="D162" s="25"/>
      <x:c r="E162" s="25"/>
      <x:c r="F162" s="22"/>
      <x:c r="G162" s="14"/>
      <x:c r="H162" s="25"/>
      <x:c r="I162" s="14" t="n">
        <x:f>IF(OR(G162="Paid",E162=""),0,MAX(0,TODAY()-E162))</x:f>
        <x:v>0</x:v>
      </x:c>
      <x:c r="J162" s="14"/>
      <x:c r="K162" s="14"/>
    </x:row>
    <x:row r="163">
      <x:c r="A163" s="14"/>
      <x:c r="B163" s="14"/>
      <x:c r="C163" s="14"/>
      <x:c r="D163" s="25"/>
      <x:c r="E163" s="25"/>
      <x:c r="F163" s="22"/>
      <x:c r="G163" s="14"/>
      <x:c r="H163" s="25"/>
      <x:c r="I163" s="14" t="n">
        <x:f>IF(OR(G163="Paid",E163=""),0,MAX(0,TODAY()-E163))</x:f>
        <x:v>0</x:v>
      </x:c>
      <x:c r="J163" s="14"/>
      <x:c r="K163" s="14"/>
    </x:row>
    <x:row r="164">
      <x:c r="A164" s="14"/>
      <x:c r="B164" s="14"/>
      <x:c r="C164" s="14"/>
      <x:c r="D164" s="25"/>
      <x:c r="E164" s="25"/>
      <x:c r="F164" s="22"/>
      <x:c r="G164" s="14"/>
      <x:c r="H164" s="25"/>
      <x:c r="I164" s="14" t="n">
        <x:f>IF(OR(G164="Paid",E164=""),0,MAX(0,TODAY()-E164))</x:f>
        <x:v>0</x:v>
      </x:c>
      <x:c r="J164" s="14"/>
      <x:c r="K164" s="14"/>
    </x:row>
    <x:row r="165">
      <x:c r="A165" s="14"/>
      <x:c r="B165" s="14"/>
      <x:c r="C165" s="14"/>
      <x:c r="D165" s="25"/>
      <x:c r="E165" s="25"/>
      <x:c r="F165" s="22"/>
      <x:c r="G165" s="14"/>
      <x:c r="H165" s="25"/>
      <x:c r="I165" s="14" t="n">
        <x:f>IF(OR(G165="Paid",E165=""),0,MAX(0,TODAY()-E165))</x:f>
        <x:v>0</x:v>
      </x:c>
      <x:c r="J165" s="14"/>
      <x:c r="K165" s="14"/>
    </x:row>
    <x:row r="166">
      <x:c r="A166" s="14"/>
      <x:c r="B166" s="14"/>
      <x:c r="C166" s="14"/>
      <x:c r="D166" s="25"/>
      <x:c r="E166" s="25"/>
      <x:c r="F166" s="22"/>
      <x:c r="G166" s="14"/>
      <x:c r="H166" s="25"/>
      <x:c r="I166" s="14" t="n">
        <x:f>IF(OR(G166="Paid",E166=""),0,MAX(0,TODAY()-E166))</x:f>
        <x:v>0</x:v>
      </x:c>
      <x:c r="J166" s="14"/>
      <x:c r="K166" s="14"/>
    </x:row>
    <x:row r="167">
      <x:c r="A167" s="14"/>
      <x:c r="B167" s="14"/>
      <x:c r="C167" s="14"/>
      <x:c r="D167" s="25"/>
      <x:c r="E167" s="25"/>
      <x:c r="F167" s="22"/>
      <x:c r="G167" s="14"/>
      <x:c r="H167" s="25"/>
      <x:c r="I167" s="14" t="n">
        <x:f>IF(OR(G167="Paid",E167=""),0,MAX(0,TODAY()-E167))</x:f>
        <x:v>0</x:v>
      </x:c>
      <x:c r="J167" s="14"/>
      <x:c r="K167" s="14"/>
    </x:row>
    <x:row r="168">
      <x:c r="A168" s="14"/>
      <x:c r="B168" s="14"/>
      <x:c r="C168" s="14"/>
      <x:c r="D168" s="25"/>
      <x:c r="E168" s="25"/>
      <x:c r="F168" s="22"/>
      <x:c r="G168" s="14"/>
      <x:c r="H168" s="25"/>
      <x:c r="I168" s="14" t="n">
        <x:f>IF(OR(G168="Paid",E168=""),0,MAX(0,TODAY()-E168))</x:f>
        <x:v>0</x:v>
      </x:c>
      <x:c r="J168" s="14"/>
      <x:c r="K168" s="14"/>
    </x:row>
    <x:row r="169">
      <x:c r="A169" s="14"/>
      <x:c r="B169" s="14"/>
      <x:c r="C169" s="14"/>
      <x:c r="D169" s="25"/>
      <x:c r="E169" s="25"/>
      <x:c r="F169" s="22"/>
      <x:c r="G169" s="14"/>
      <x:c r="H169" s="25"/>
      <x:c r="I169" s="14" t="n">
        <x:f>IF(OR(G169="Paid",E169=""),0,MAX(0,TODAY()-E169))</x:f>
        <x:v>0</x:v>
      </x:c>
      <x:c r="J169" s="14"/>
      <x:c r="K169" s="14"/>
    </x:row>
    <x:row r="170">
      <x:c r="A170" s="14"/>
      <x:c r="B170" s="14"/>
      <x:c r="C170" s="14"/>
      <x:c r="D170" s="25"/>
      <x:c r="E170" s="25"/>
      <x:c r="F170" s="22"/>
      <x:c r="G170" s="14"/>
      <x:c r="H170" s="25"/>
      <x:c r="I170" s="14" t="n">
        <x:f>IF(OR(G170="Paid",E170=""),0,MAX(0,TODAY()-E170))</x:f>
        <x:v>0</x:v>
      </x:c>
      <x:c r="J170" s="14"/>
      <x:c r="K170" s="14"/>
    </x:row>
    <x:row r="171">
      <x:c r="A171" s="14"/>
      <x:c r="B171" s="14"/>
      <x:c r="C171" s="14"/>
      <x:c r="D171" s="25"/>
      <x:c r="E171" s="25"/>
      <x:c r="F171" s="22"/>
      <x:c r="G171" s="14"/>
      <x:c r="H171" s="25"/>
      <x:c r="I171" s="14" t="n">
        <x:f>IF(OR(G171="Paid",E171=""),0,MAX(0,TODAY()-E171))</x:f>
        <x:v>0</x:v>
      </x:c>
      <x:c r="J171" s="14"/>
      <x:c r="K171" s="14"/>
    </x:row>
    <x:row r="172">
      <x:c r="A172" s="14"/>
      <x:c r="B172" s="14"/>
      <x:c r="C172" s="14"/>
      <x:c r="D172" s="25"/>
      <x:c r="E172" s="25"/>
      <x:c r="F172" s="22"/>
      <x:c r="G172" s="14"/>
      <x:c r="H172" s="25"/>
      <x:c r="I172" s="14" t="n">
        <x:f>IF(OR(G172="Paid",E172=""),0,MAX(0,TODAY()-E172))</x:f>
        <x:v>0</x:v>
      </x:c>
      <x:c r="J172" s="14"/>
      <x:c r="K172" s="14"/>
    </x:row>
    <x:row r="173">
      <x:c r="A173" s="14"/>
      <x:c r="B173" s="14"/>
      <x:c r="C173" s="14"/>
      <x:c r="D173" s="25"/>
      <x:c r="E173" s="25"/>
      <x:c r="F173" s="22"/>
      <x:c r="G173" s="14"/>
      <x:c r="H173" s="25"/>
      <x:c r="I173" s="14" t="n">
        <x:f>IF(OR(G173="Paid",E173=""),0,MAX(0,TODAY()-E173))</x:f>
        <x:v>0</x:v>
      </x:c>
      <x:c r="J173" s="14"/>
      <x:c r="K173" s="14"/>
    </x:row>
    <x:row r="174">
      <x:c r="A174" s="14"/>
      <x:c r="B174" s="14"/>
      <x:c r="C174" s="14"/>
      <x:c r="D174" s="25"/>
      <x:c r="E174" s="25"/>
      <x:c r="F174" s="22"/>
      <x:c r="G174" s="14"/>
      <x:c r="H174" s="25"/>
      <x:c r="I174" s="14" t="n">
        <x:f>IF(OR(G174="Paid",E174=""),0,MAX(0,TODAY()-E174))</x:f>
        <x:v>0</x:v>
      </x:c>
      <x:c r="J174" s="14"/>
      <x:c r="K174" s="14"/>
    </x:row>
    <x:row r="175">
      <x:c r="A175" s="14"/>
      <x:c r="B175" s="14"/>
      <x:c r="C175" s="14"/>
      <x:c r="D175" s="25"/>
      <x:c r="E175" s="25"/>
      <x:c r="F175" s="22"/>
      <x:c r="G175" s="14"/>
      <x:c r="H175" s="25"/>
      <x:c r="I175" s="14" t="n">
        <x:f>IF(OR(G175="Paid",E175=""),0,MAX(0,TODAY()-E175))</x:f>
        <x:v>0</x:v>
      </x:c>
      <x:c r="J175" s="14"/>
      <x:c r="K175" s="14"/>
    </x:row>
    <x:row r="176">
      <x:c r="A176" s="14"/>
      <x:c r="B176" s="14"/>
      <x:c r="C176" s="14"/>
      <x:c r="D176" s="25"/>
      <x:c r="E176" s="25"/>
      <x:c r="F176" s="22"/>
      <x:c r="G176" s="14"/>
      <x:c r="H176" s="25"/>
      <x:c r="I176" s="14" t="n">
        <x:f>IF(OR(G176="Paid",E176=""),0,MAX(0,TODAY()-E176))</x:f>
        <x:v>0</x:v>
      </x:c>
      <x:c r="J176" s="14"/>
      <x:c r="K176" s="14"/>
    </x:row>
    <x:row r="177">
      <x:c r="A177" s="14"/>
      <x:c r="B177" s="14"/>
      <x:c r="C177" s="14"/>
      <x:c r="D177" s="25"/>
      <x:c r="E177" s="25"/>
      <x:c r="F177" s="22"/>
      <x:c r="G177" s="14"/>
      <x:c r="H177" s="25"/>
      <x:c r="I177" s="14" t="n">
        <x:f>IF(OR(G177="Paid",E177=""),0,MAX(0,TODAY()-E177))</x:f>
        <x:v>0</x:v>
      </x:c>
      <x:c r="J177" s="14"/>
      <x:c r="K177" s="14"/>
    </x:row>
    <x:row r="178">
      <x:c r="A178" s="14"/>
      <x:c r="B178" s="14"/>
      <x:c r="C178" s="14"/>
      <x:c r="D178" s="25"/>
      <x:c r="E178" s="25"/>
      <x:c r="F178" s="22"/>
      <x:c r="G178" s="14"/>
      <x:c r="H178" s="25"/>
      <x:c r="I178" s="14" t="n">
        <x:f>IF(OR(G178="Paid",E178=""),0,MAX(0,TODAY()-E178))</x:f>
        <x:v>0</x:v>
      </x:c>
      <x:c r="J178" s="14"/>
      <x:c r="K178" s="14"/>
    </x:row>
    <x:row r="179">
      <x:c r="A179" s="14"/>
      <x:c r="B179" s="14"/>
      <x:c r="C179" s="14"/>
      <x:c r="D179" s="25"/>
      <x:c r="E179" s="25"/>
      <x:c r="F179" s="22"/>
      <x:c r="G179" s="14"/>
      <x:c r="H179" s="25"/>
      <x:c r="I179" s="14" t="n">
        <x:f>IF(OR(G179="Paid",E179=""),0,MAX(0,TODAY()-E179))</x:f>
        <x:v>0</x:v>
      </x:c>
      <x:c r="J179" s="14"/>
      <x:c r="K179" s="14"/>
    </x:row>
    <x:row r="180">
      <x:c r="A180" s="14"/>
      <x:c r="B180" s="14"/>
      <x:c r="C180" s="14"/>
      <x:c r="D180" s="25"/>
      <x:c r="E180" s="25"/>
      <x:c r="F180" s="22"/>
      <x:c r="G180" s="14"/>
      <x:c r="H180" s="25"/>
      <x:c r="I180" s="14" t="n">
        <x:f>IF(OR(G180="Paid",E180=""),0,MAX(0,TODAY()-E180))</x:f>
        <x:v>0</x:v>
      </x:c>
      <x:c r="J180" s="14"/>
      <x:c r="K180" s="14"/>
    </x:row>
    <x:row r="181">
      <x:c r="A181" s="14"/>
      <x:c r="B181" s="14"/>
      <x:c r="C181" s="14"/>
      <x:c r="D181" s="25"/>
      <x:c r="E181" s="25"/>
      <x:c r="F181" s="22"/>
      <x:c r="G181" s="14"/>
      <x:c r="H181" s="25"/>
      <x:c r="I181" s="14" t="n">
        <x:f>IF(OR(G181="Paid",E181=""),0,MAX(0,TODAY()-E181))</x:f>
        <x:v>0</x:v>
      </x:c>
      <x:c r="J181" s="14"/>
      <x:c r="K181" s="14"/>
    </x:row>
    <x:row r="182">
      <x:c r="A182" s="14"/>
      <x:c r="B182" s="14"/>
      <x:c r="C182" s="14"/>
      <x:c r="D182" s="25"/>
      <x:c r="E182" s="25"/>
      <x:c r="F182" s="22"/>
      <x:c r="G182" s="14"/>
      <x:c r="H182" s="25"/>
      <x:c r="I182" s="14" t="n">
        <x:f>IF(OR(G182="Paid",E182=""),0,MAX(0,TODAY()-E182))</x:f>
        <x:v>0</x:v>
      </x:c>
      <x:c r="J182" s="14"/>
      <x:c r="K182" s="14"/>
    </x:row>
    <x:row r="183">
      <x:c r="A183" s="14"/>
      <x:c r="B183" s="14"/>
      <x:c r="C183" s="14"/>
      <x:c r="D183" s="25"/>
      <x:c r="E183" s="25"/>
      <x:c r="F183" s="22"/>
      <x:c r="G183" s="14"/>
      <x:c r="H183" s="25"/>
      <x:c r="I183" s="14" t="n">
        <x:f>IF(OR(G183="Paid",E183=""),0,MAX(0,TODAY()-E183))</x:f>
        <x:v>0</x:v>
      </x:c>
      <x:c r="J183" s="14"/>
      <x:c r="K183" s="14"/>
    </x:row>
    <x:row r="184">
      <x:c r="A184" s="14"/>
      <x:c r="B184" s="14"/>
      <x:c r="C184" s="14"/>
      <x:c r="D184" s="25"/>
      <x:c r="E184" s="25"/>
      <x:c r="F184" s="22"/>
      <x:c r="G184" s="14"/>
      <x:c r="H184" s="25"/>
      <x:c r="I184" s="14" t="n">
        <x:f>IF(OR(G184="Paid",E184=""),0,MAX(0,TODAY()-E184))</x:f>
        <x:v>0</x:v>
      </x:c>
      <x:c r="J184" s="14"/>
      <x:c r="K184" s="14"/>
    </x:row>
    <x:row r="185">
      <x:c r="A185" s="14"/>
      <x:c r="B185" s="14"/>
      <x:c r="C185" s="14"/>
      <x:c r="D185" s="25"/>
      <x:c r="E185" s="25"/>
      <x:c r="F185" s="22"/>
      <x:c r="G185" s="14"/>
      <x:c r="H185" s="25"/>
      <x:c r="I185" s="14" t="n">
        <x:f>IF(OR(G185="Paid",E185=""),0,MAX(0,TODAY()-E185))</x:f>
        <x:v>0</x:v>
      </x:c>
      <x:c r="J185" s="14"/>
      <x:c r="K185" s="14"/>
    </x:row>
    <x:row r="186">
      <x:c r="A186" s="14"/>
      <x:c r="B186" s="14"/>
      <x:c r="C186" s="14"/>
      <x:c r="D186" s="25"/>
      <x:c r="E186" s="25"/>
      <x:c r="F186" s="22"/>
      <x:c r="G186" s="14"/>
      <x:c r="H186" s="25"/>
      <x:c r="I186" s="14" t="n">
        <x:f>IF(OR(G186="Paid",E186=""),0,MAX(0,TODAY()-E186))</x:f>
        <x:v>0</x:v>
      </x:c>
      <x:c r="J186" s="14"/>
      <x:c r="K186" s="14"/>
    </x:row>
    <x:row r="187">
      <x:c r="A187" s="14"/>
      <x:c r="B187" s="14"/>
      <x:c r="C187" s="14"/>
      <x:c r="D187" s="25"/>
      <x:c r="E187" s="25"/>
      <x:c r="F187" s="22"/>
      <x:c r="G187" s="14"/>
      <x:c r="H187" s="25"/>
      <x:c r="I187" s="14" t="n">
        <x:f>IF(OR(G187="Paid",E187=""),0,MAX(0,TODAY()-E187))</x:f>
        <x:v>0</x:v>
      </x:c>
      <x:c r="J187" s="14"/>
      <x:c r="K187" s="14"/>
    </x:row>
    <x:row r="188">
      <x:c r="A188" s="14"/>
      <x:c r="B188" s="14"/>
      <x:c r="C188" s="14"/>
      <x:c r="D188" s="25"/>
      <x:c r="E188" s="25"/>
      <x:c r="F188" s="22"/>
      <x:c r="G188" s="14"/>
      <x:c r="H188" s="25"/>
      <x:c r="I188" s="14" t="n">
        <x:f>IF(OR(G188="Paid",E188=""),0,MAX(0,TODAY()-E188))</x:f>
        <x:v>0</x:v>
      </x:c>
      <x:c r="J188" s="14"/>
      <x:c r="K188" s="14"/>
    </x:row>
    <x:row r="189">
      <x:c r="A189" s="14"/>
      <x:c r="B189" s="14"/>
      <x:c r="C189" s="14"/>
      <x:c r="D189" s="25"/>
      <x:c r="E189" s="25"/>
      <x:c r="F189" s="22"/>
      <x:c r="G189" s="14"/>
      <x:c r="H189" s="25"/>
      <x:c r="I189" s="14" t="n">
        <x:f>IF(OR(G189="Paid",E189=""),0,MAX(0,TODAY()-E189))</x:f>
        <x:v>0</x:v>
      </x:c>
      <x:c r="J189" s="14"/>
      <x:c r="K189" s="14"/>
    </x:row>
    <x:row r="190">
      <x:c r="A190" s="14"/>
      <x:c r="B190" s="14"/>
      <x:c r="C190" s="14"/>
      <x:c r="D190" s="25"/>
      <x:c r="E190" s="25"/>
      <x:c r="F190" s="22"/>
      <x:c r="G190" s="14"/>
      <x:c r="H190" s="25"/>
      <x:c r="I190" s="14" t="n">
        <x:f>IF(OR(G190="Paid",E190=""),0,MAX(0,TODAY()-E190))</x:f>
        <x:v>0</x:v>
      </x:c>
      <x:c r="J190" s="14"/>
      <x:c r="K190" s="14"/>
    </x:row>
    <x:row r="191">
      <x:c r="A191" s="14"/>
      <x:c r="B191" s="14"/>
      <x:c r="C191" s="14"/>
      <x:c r="D191" s="25"/>
      <x:c r="E191" s="25"/>
      <x:c r="F191" s="22"/>
      <x:c r="G191" s="14"/>
      <x:c r="H191" s="25"/>
      <x:c r="I191" s="14" t="n">
        <x:f>IF(OR(G191="Paid",E191=""),0,MAX(0,TODAY()-E191))</x:f>
        <x:v>0</x:v>
      </x:c>
      <x:c r="J191" s="14"/>
      <x:c r="K191" s="14"/>
    </x:row>
    <x:row r="192">
      <x:c r="A192" s="14"/>
      <x:c r="B192" s="14"/>
      <x:c r="C192" s="14"/>
      <x:c r="D192" s="25"/>
      <x:c r="E192" s="25"/>
      <x:c r="F192" s="22"/>
      <x:c r="G192" s="14"/>
      <x:c r="H192" s="25"/>
      <x:c r="I192" s="14" t="n">
        <x:f>IF(OR(G192="Paid",E192=""),0,MAX(0,TODAY()-E192))</x:f>
        <x:v>0</x:v>
      </x:c>
      <x:c r="J192" s="14"/>
      <x:c r="K192" s="14"/>
    </x:row>
    <x:row r="193">
      <x:c r="A193" s="14"/>
      <x:c r="B193" s="14"/>
      <x:c r="C193" s="14"/>
      <x:c r="D193" s="25"/>
      <x:c r="E193" s="25"/>
      <x:c r="F193" s="22"/>
      <x:c r="G193" s="14"/>
      <x:c r="H193" s="25"/>
      <x:c r="I193" s="14" t="n">
        <x:f>IF(OR(G193="Paid",E193=""),0,MAX(0,TODAY()-E193))</x:f>
        <x:v>0</x:v>
      </x:c>
      <x:c r="J193" s="14"/>
      <x:c r="K193" s="14"/>
    </x:row>
    <x:row r="194">
      <x:c r="A194" s="14"/>
      <x:c r="B194" s="14"/>
      <x:c r="C194" s="14"/>
      <x:c r="D194" s="25"/>
      <x:c r="E194" s="25"/>
      <x:c r="F194" s="22"/>
      <x:c r="G194" s="14"/>
      <x:c r="H194" s="25"/>
      <x:c r="I194" s="14" t="n">
        <x:f>IF(OR(G194="Paid",E194=""),0,MAX(0,TODAY()-E194))</x:f>
        <x:v>0</x:v>
      </x:c>
      <x:c r="J194" s="14"/>
      <x:c r="K194" s="14"/>
    </x:row>
    <x:row r="195">
      <x:c r="A195" s="14"/>
      <x:c r="B195" s="14"/>
      <x:c r="C195" s="14"/>
      <x:c r="D195" s="25"/>
      <x:c r="E195" s="25"/>
      <x:c r="F195" s="22"/>
      <x:c r="G195" s="14"/>
      <x:c r="H195" s="25"/>
      <x:c r="I195" s="14" t="n">
        <x:f>IF(OR(G195="Paid",E195=""),0,MAX(0,TODAY()-E195))</x:f>
        <x:v>0</x:v>
      </x:c>
      <x:c r="J195" s="14"/>
      <x:c r="K195" s="14"/>
    </x:row>
    <x:row r="196">
      <x:c r="A196" s="14"/>
      <x:c r="B196" s="14"/>
      <x:c r="C196" s="14"/>
      <x:c r="D196" s="25"/>
      <x:c r="E196" s="25"/>
      <x:c r="F196" s="22"/>
      <x:c r="G196" s="14"/>
      <x:c r="H196" s="25"/>
      <x:c r="I196" s="14" t="n">
        <x:f>IF(OR(G196="Paid",E196=""),0,MAX(0,TODAY()-E196))</x:f>
        <x:v>0</x:v>
      </x:c>
      <x:c r="J196" s="14"/>
      <x:c r="K196" s="14"/>
    </x:row>
    <x:row r="197">
      <x:c r="A197" s="14"/>
      <x:c r="B197" s="14"/>
      <x:c r="C197" s="14"/>
      <x:c r="D197" s="25"/>
      <x:c r="E197" s="25"/>
      <x:c r="F197" s="22"/>
      <x:c r="G197" s="14"/>
      <x:c r="H197" s="25"/>
      <x:c r="I197" s="14" t="n">
        <x:f>IF(OR(G197="Paid",E197=""),0,MAX(0,TODAY()-E197))</x:f>
        <x:v>0</x:v>
      </x:c>
      <x:c r="J197" s="14"/>
      <x:c r="K197" s="14"/>
    </x:row>
    <x:row r="198">
      <x:c r="A198" s="14"/>
      <x:c r="B198" s="14"/>
      <x:c r="C198" s="14"/>
      <x:c r="D198" s="25"/>
      <x:c r="E198" s="25"/>
      <x:c r="F198" s="22"/>
      <x:c r="G198" s="14"/>
      <x:c r="H198" s="25"/>
      <x:c r="I198" s="14" t="n">
        <x:f>IF(OR(G198="Paid",E198=""),0,MAX(0,TODAY()-E198))</x:f>
        <x:v>0</x:v>
      </x:c>
      <x:c r="J198" s="14"/>
      <x:c r="K198" s="14"/>
    </x:row>
    <x:row r="199">
      <x:c r="A199" s="14"/>
      <x:c r="B199" s="14"/>
      <x:c r="C199" s="14"/>
      <x:c r="D199" s="25"/>
      <x:c r="E199" s="25"/>
      <x:c r="F199" s="22"/>
      <x:c r="G199" s="14"/>
      <x:c r="H199" s="25"/>
      <x:c r="I199" s="14" t="n">
        <x:f>IF(OR(G199="Paid",E199=""),0,MAX(0,TODAY()-E199))</x:f>
        <x:v>0</x:v>
      </x:c>
      <x:c r="J199" s="14"/>
      <x:c r="K199" s="14"/>
    </x:row>
    <x:row r="200">
      <x:c r="A200" s="14"/>
      <x:c r="B200" s="14"/>
      <x:c r="C200" s="14"/>
      <x:c r="D200" s="25"/>
      <x:c r="E200" s="25"/>
      <x:c r="F200" s="22"/>
      <x:c r="G200" s="14"/>
      <x:c r="H200" s="25"/>
      <x:c r="I200" s="14" t="n">
        <x:f>IF(OR(G200="Paid",E200=""),0,MAX(0,TODAY()-E200))</x:f>
        <x:v>0</x:v>
      </x:c>
      <x:c r="J200" s="14"/>
      <x:c r="K200" s="14"/>
    </x:row>
    <x:row r="201">
      <x:c r="A201" s="14"/>
      <x:c r="B201" s="14"/>
      <x:c r="C201" s="14"/>
      <x:c r="D201" s="25"/>
      <x:c r="E201" s="25"/>
      <x:c r="F201" s="22"/>
      <x:c r="G201" s="14"/>
      <x:c r="H201" s="25"/>
      <x:c r="I201" s="14" t="n">
        <x:f>IF(OR(G201="Paid",E201=""),0,MAX(0,TODAY()-E201))</x:f>
        <x:v>0</x:v>
      </x:c>
      <x:c r="J201" s="14"/>
      <x:c r="K201" s="14"/>
    </x:row>
    <x:row r="202">
      <x:c r="A202" s="14"/>
      <x:c r="B202" s="14"/>
      <x:c r="C202" s="14"/>
      <x:c r="D202" s="25"/>
      <x:c r="E202" s="25"/>
      <x:c r="F202" s="22"/>
      <x:c r="G202" s="14"/>
      <x:c r="H202" s="25"/>
      <x:c r="I202" s="14" t="n">
        <x:f>IF(OR(G202="Paid",E202=""),0,MAX(0,TODAY()-E202))</x:f>
        <x:v>0</x:v>
      </x:c>
      <x:c r="J202" s="14"/>
      <x:c r="K202" s="14"/>
    </x:row>
    <x:row r="203">
      <x:c r="A203" s="14"/>
      <x:c r="B203" s="14"/>
      <x:c r="C203" s="14"/>
      <x:c r="D203" s="25"/>
      <x:c r="E203" s="25"/>
      <x:c r="F203" s="22"/>
      <x:c r="G203" s="14"/>
      <x:c r="H203" s="25"/>
      <x:c r="I203" s="14" t="n">
        <x:f>IF(OR(G203="Paid",E203=""),0,MAX(0,TODAY()-E203))</x:f>
        <x:v>0</x:v>
      </x:c>
      <x:c r="J203" s="14"/>
      <x:c r="K203" s="14"/>
    </x:row>
    <x:row r="204">
      <x:c r="A204" s="14"/>
      <x:c r="B204" s="14"/>
      <x:c r="C204" s="14"/>
      <x:c r="D204" s="25"/>
      <x:c r="E204" s="25"/>
      <x:c r="F204" s="22"/>
      <x:c r="G204" s="14"/>
      <x:c r="H204" s="25"/>
      <x:c r="I204" s="14" t="n">
        <x:f>IF(OR(G204="Paid",E204=""),0,MAX(0,TODAY()-E204))</x:f>
        <x:v>0</x:v>
      </x:c>
      <x:c r="J204" s="14"/>
      <x:c r="K204" s="14"/>
    </x:row>
    <x:row r="205">
      <x:c r="A205" s="15"/>
      <x:c r="B205" s="15"/>
      <x:c r="C205" s="15"/>
      <x:c r="D205" s="26"/>
      <x:c r="E205" s="26"/>
      <x:c r="F205" s="23"/>
      <x:c r="G205" s="15"/>
      <x:c r="H205" s="26"/>
      <x:c r="I205" s="15" t="n">
        <x:f>IF(OR(G205="Paid",E205=""),0,MAX(0,TODAY()-E205))</x:f>
        <x:v>0</x:v>
      </x:c>
      <x:c r="J205" s="15"/>
      <x:c r="K205" s="15"/>
    </x:row>
  </x:sheetData>
  <x:mergeCells>
    <x:mergeCell ref="A1:K1"/>
    <x:mergeCell ref="A2:K2"/>
  </x:mergeCells>
  <x:conditionalFormatting sqref="I5:I205">
    <x:cfRule type="cellIs" dxfId="0" priority="1" operator="greaterThan">
      <x:formula>0</x:formula>
    </x:cfRule>
  </x:conditionalFormatting>
  <x:dataValidations count="1">
    <x:dataValidation type="list" sqref="G5:G205">
      <x:formula1>"Draft,Sent,Paid,Overdue,Void"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6edf7f6dcc5496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1" hidden="0" customWidth="1"/>
    <x:col min="3" max="3" width="31" hidden="0" customWidth="1"/>
    <x:col min="4" max="4" width="16" hidden="0" customWidth="1"/>
    <x:col min="5" max="5" width="12" hidden="0" customWidth="1"/>
    <x:col min="6" max="6" width="18" hidden="0" customWidth="1"/>
    <x:col min="7" max="7" width="13" hidden="0" customWidth="1"/>
    <x:col min="8" max="8" width="13" hidden="0" customWidth="1"/>
    <x:col min="9" max="9" width="13" hidden="0" customWidth="1"/>
    <x:col min="10" max="10" width="25" hidden="0" customWidth="1"/>
    <x:col min="11" max="11" width="20" hidden="0" customWidth="1"/>
    <x:col min="12" max="12" width="14" hidden="0" customWidth="1"/>
    <x:col min="13" max="13" width="32" hidden="0" customWidth="1"/>
  </x:cols>
  <x:sheetData>
    <x:row r="1" ht="34" customHeight="1">
      <x:c r="A1" s="2" t="str">
        <x:v>Tax Document Checklist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4" t="str">
        <x:v>Operational collection tracker only; confirm requirements with the client's tax professional.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4">
      <x:c r="A4" s="8" t="str">
        <x:v>Client</x:v>
      </x:c>
      <x:c r="B4" s="8" t="str">
        <x:v>Tax Year</x:v>
      </x:c>
      <x:c r="C4" s="8" t="str">
        <x:v>Document</x:v>
      </x:c>
      <x:c r="D4" s="8" t="str">
        <x:v>Category</x:v>
      </x:c>
      <x:c r="E4" s="8" t="str">
        <x:v>Required</x:v>
      </x:c>
      <x:c r="F4" s="8" t="str">
        <x:v>Status</x:v>
      </x:c>
      <x:c r="G4" s="8" t="str">
        <x:v>Requested</x:v>
      </x:c>
      <x:c r="H4" s="8" t="str">
        <x:v>Due</x:v>
      </x:c>
      <x:c r="I4" s="8" t="str">
        <x:v>Received</x:v>
      </x:c>
      <x:c r="J4" s="8" t="str">
        <x:v>Secure Link</x:v>
      </x:c>
      <x:c r="K4" s="8" t="str">
        <x:v>Tax Preparer</x:v>
      </x:c>
      <x:c r="L4" s="8" t="str">
        <x:v>Owner</x:v>
      </x:c>
      <x:c r="M4" s="8" t="str">
        <x:v>Notes</x:v>
      </x:c>
    </x:row>
    <x:row r="5">
      <x:c r="A5" s="13" t="str">
        <x:v>Harbor Design LLC</x:v>
      </x:c>
      <x:c r="B5" s="13" t="str">
        <x:v>2026</x:v>
      </x:c>
      <x:c r="C5" s="13" t="str">
        <x:v>Year-end bank statements</x:v>
      </x:c>
      <x:c r="D5" s="13" t="str">
        <x:v>Banking</x:v>
      </x:c>
      <x:c r="E5" s="13" t="str">
        <x:v>Yes</x:v>
      </x:c>
      <x:c r="F5" s="13" t="str">
        <x:v>Requested</x:v>
      </x:c>
      <x:c r="G5" s="24" t="n">
        <x:v>46392</x:v>
      </x:c>
      <x:c r="H5" s="24" t="n">
        <x:v>46402</x:v>
      </x:c>
      <x:c r="I5" s="24" t="str"/>
      <x:c r="J5" s="13" t="str"/>
      <x:c r="K5" s="13" t="str">
        <x:v>[NAME]</x:v>
      </x:c>
      <x:c r="L5" s="13" t="str">
        <x:v>[OWNER]</x:v>
      </x:c>
      <x:c r="M5" s="13" t="str">
        <x:v>Sample row</x:v>
      </x:c>
    </x:row>
    <x:row r="6">
      <x:c r="A6" s="14"/>
      <x:c r="B6" s="14"/>
      <x:c r="C6" s="14"/>
      <x:c r="D6" s="14"/>
      <x:c r="E6" s="14"/>
      <x:c r="F6" s="14"/>
      <x:c r="G6" s="25"/>
      <x:c r="H6" s="25"/>
      <x:c r="I6" s="25"/>
      <x:c r="J6" s="14"/>
      <x:c r="K6" s="14"/>
      <x:c r="L6" s="14"/>
      <x:c r="M6" s="14"/>
    </x:row>
    <x:row r="7">
      <x:c r="A7" s="14"/>
      <x:c r="B7" s="14"/>
      <x:c r="C7" s="14"/>
      <x:c r="D7" s="14"/>
      <x:c r="E7" s="14"/>
      <x:c r="F7" s="14"/>
      <x:c r="G7" s="25"/>
      <x:c r="H7" s="25"/>
      <x:c r="I7" s="25"/>
      <x:c r="J7" s="14"/>
      <x:c r="K7" s="14"/>
      <x:c r="L7" s="14"/>
      <x:c r="M7" s="14"/>
    </x:row>
    <x:row r="8">
      <x:c r="A8" s="14"/>
      <x:c r="B8" s="14"/>
      <x:c r="C8" s="14"/>
      <x:c r="D8" s="14"/>
      <x:c r="E8" s="14"/>
      <x:c r="F8" s="14"/>
      <x:c r="G8" s="25"/>
      <x:c r="H8" s="25"/>
      <x:c r="I8" s="25"/>
      <x:c r="J8" s="14"/>
      <x:c r="K8" s="14"/>
      <x:c r="L8" s="14"/>
      <x:c r="M8" s="14"/>
    </x:row>
    <x:row r="9">
      <x:c r="A9" s="14"/>
      <x:c r="B9" s="14"/>
      <x:c r="C9" s="14"/>
      <x:c r="D9" s="14"/>
      <x:c r="E9" s="14"/>
      <x:c r="F9" s="14"/>
      <x:c r="G9" s="25"/>
      <x:c r="H9" s="25"/>
      <x:c r="I9" s="25"/>
      <x:c r="J9" s="14"/>
      <x:c r="K9" s="14"/>
      <x:c r="L9" s="14"/>
      <x:c r="M9" s="14"/>
    </x:row>
    <x:row r="10">
      <x:c r="A10" s="14"/>
      <x:c r="B10" s="14"/>
      <x:c r="C10" s="14"/>
      <x:c r="D10" s="14"/>
      <x:c r="E10" s="14"/>
      <x:c r="F10" s="14"/>
      <x:c r="G10" s="25"/>
      <x:c r="H10" s="25"/>
      <x:c r="I10" s="25"/>
      <x:c r="J10" s="14"/>
      <x:c r="K10" s="14"/>
      <x:c r="L10" s="14"/>
      <x:c r="M10" s="14"/>
    </x:row>
    <x:row r="11">
      <x:c r="A11" s="14"/>
      <x:c r="B11" s="14"/>
      <x:c r="C11" s="14"/>
      <x:c r="D11" s="14"/>
      <x:c r="E11" s="14"/>
      <x:c r="F11" s="14"/>
      <x:c r="G11" s="25"/>
      <x:c r="H11" s="25"/>
      <x:c r="I11" s="25"/>
      <x:c r="J11" s="14"/>
      <x:c r="K11" s="14"/>
      <x:c r="L11" s="14"/>
      <x:c r="M11" s="14"/>
    </x:row>
    <x:row r="12">
      <x:c r="A12" s="14"/>
      <x:c r="B12" s="14"/>
      <x:c r="C12" s="14"/>
      <x:c r="D12" s="14"/>
      <x:c r="E12" s="14"/>
      <x:c r="F12" s="14"/>
      <x:c r="G12" s="25"/>
      <x:c r="H12" s="25"/>
      <x:c r="I12" s="25"/>
      <x:c r="J12" s="14"/>
      <x:c r="K12" s="14"/>
      <x:c r="L12" s="14"/>
      <x:c r="M12" s="14"/>
    </x:row>
    <x:row r="13">
      <x:c r="A13" s="14"/>
      <x:c r="B13" s="14"/>
      <x:c r="C13" s="14"/>
      <x:c r="D13" s="14"/>
      <x:c r="E13" s="14"/>
      <x:c r="F13" s="14"/>
      <x:c r="G13" s="25"/>
      <x:c r="H13" s="25"/>
      <x:c r="I13" s="25"/>
      <x:c r="J13" s="14"/>
      <x:c r="K13" s="14"/>
      <x:c r="L13" s="14"/>
      <x:c r="M13" s="14"/>
    </x:row>
    <x:row r="14">
      <x:c r="A14" s="14"/>
      <x:c r="B14" s="14"/>
      <x:c r="C14" s="14"/>
      <x:c r="D14" s="14"/>
      <x:c r="E14" s="14"/>
      <x:c r="F14" s="14"/>
      <x:c r="G14" s="25"/>
      <x:c r="H14" s="25"/>
      <x:c r="I14" s="25"/>
      <x:c r="J14" s="14"/>
      <x:c r="K14" s="14"/>
      <x:c r="L14" s="14"/>
      <x:c r="M14" s="14"/>
    </x:row>
    <x:row r="15">
      <x:c r="A15" s="14"/>
      <x:c r="B15" s="14"/>
      <x:c r="C15" s="14"/>
      <x:c r="D15" s="14"/>
      <x:c r="E15" s="14"/>
      <x:c r="F15" s="14"/>
      <x:c r="G15" s="25"/>
      <x:c r="H15" s="25"/>
      <x:c r="I15" s="25"/>
      <x:c r="J15" s="14"/>
      <x:c r="K15" s="14"/>
      <x:c r="L15" s="14"/>
      <x:c r="M15" s="14"/>
    </x:row>
    <x:row r="16">
      <x:c r="A16" s="14"/>
      <x:c r="B16" s="14"/>
      <x:c r="C16" s="14"/>
      <x:c r="D16" s="14"/>
      <x:c r="E16" s="14"/>
      <x:c r="F16" s="14"/>
      <x:c r="G16" s="25"/>
      <x:c r="H16" s="25"/>
      <x:c r="I16" s="25"/>
      <x:c r="J16" s="14"/>
      <x:c r="K16" s="14"/>
      <x:c r="L16" s="14"/>
      <x:c r="M16" s="14"/>
    </x:row>
    <x:row r="17">
      <x:c r="A17" s="14"/>
      <x:c r="B17" s="14"/>
      <x:c r="C17" s="14"/>
      <x:c r="D17" s="14"/>
      <x:c r="E17" s="14"/>
      <x:c r="F17" s="14"/>
      <x:c r="G17" s="25"/>
      <x:c r="H17" s="25"/>
      <x:c r="I17" s="25"/>
      <x:c r="J17" s="14"/>
      <x:c r="K17" s="14"/>
      <x:c r="L17" s="14"/>
      <x:c r="M17" s="14"/>
    </x:row>
    <x:row r="18">
      <x:c r="A18" s="14"/>
      <x:c r="B18" s="14"/>
      <x:c r="C18" s="14"/>
      <x:c r="D18" s="14"/>
      <x:c r="E18" s="14"/>
      <x:c r="F18" s="14"/>
      <x:c r="G18" s="25"/>
      <x:c r="H18" s="25"/>
      <x:c r="I18" s="25"/>
      <x:c r="J18" s="14"/>
      <x:c r="K18" s="14"/>
      <x:c r="L18" s="14"/>
      <x:c r="M18" s="14"/>
    </x:row>
    <x:row r="19">
      <x:c r="A19" s="14"/>
      <x:c r="B19" s="14"/>
      <x:c r="C19" s="14"/>
      <x:c r="D19" s="14"/>
      <x:c r="E19" s="14"/>
      <x:c r="F19" s="14"/>
      <x:c r="G19" s="25"/>
      <x:c r="H19" s="25"/>
      <x:c r="I19" s="25"/>
      <x:c r="J19" s="14"/>
      <x:c r="K19" s="14"/>
      <x:c r="L19" s="14"/>
      <x:c r="M19" s="14"/>
    </x:row>
    <x:row r="20">
      <x:c r="A20" s="14"/>
      <x:c r="B20" s="14"/>
      <x:c r="C20" s="14"/>
      <x:c r="D20" s="14"/>
      <x:c r="E20" s="14"/>
      <x:c r="F20" s="14"/>
      <x:c r="G20" s="25"/>
      <x:c r="H20" s="25"/>
      <x:c r="I20" s="25"/>
      <x:c r="J20" s="14"/>
      <x:c r="K20" s="14"/>
      <x:c r="L20" s="14"/>
      <x:c r="M20" s="14"/>
    </x:row>
    <x:row r="21">
      <x:c r="A21" s="14"/>
      <x:c r="B21" s="14"/>
      <x:c r="C21" s="14"/>
      <x:c r="D21" s="14"/>
      <x:c r="E21" s="14"/>
      <x:c r="F21" s="14"/>
      <x:c r="G21" s="25"/>
      <x:c r="H21" s="25"/>
      <x:c r="I21" s="25"/>
      <x:c r="J21" s="14"/>
      <x:c r="K21" s="14"/>
      <x:c r="L21" s="14"/>
      <x:c r="M21" s="14"/>
    </x:row>
    <x:row r="22">
      <x:c r="A22" s="14"/>
      <x:c r="B22" s="14"/>
      <x:c r="C22" s="14"/>
      <x:c r="D22" s="14"/>
      <x:c r="E22" s="14"/>
      <x:c r="F22" s="14"/>
      <x:c r="G22" s="25"/>
      <x:c r="H22" s="25"/>
      <x:c r="I22" s="25"/>
      <x:c r="J22" s="14"/>
      <x:c r="K22" s="14"/>
      <x:c r="L22" s="14"/>
      <x:c r="M22" s="14"/>
    </x:row>
    <x:row r="23">
      <x:c r="A23" s="14"/>
      <x:c r="B23" s="14"/>
      <x:c r="C23" s="14"/>
      <x:c r="D23" s="14"/>
      <x:c r="E23" s="14"/>
      <x:c r="F23" s="14"/>
      <x:c r="G23" s="25"/>
      <x:c r="H23" s="25"/>
      <x:c r="I23" s="25"/>
      <x:c r="J23" s="14"/>
      <x:c r="K23" s="14"/>
      <x:c r="L23" s="14"/>
      <x:c r="M23" s="14"/>
    </x:row>
    <x:row r="24">
      <x:c r="A24" s="14"/>
      <x:c r="B24" s="14"/>
      <x:c r="C24" s="14"/>
      <x:c r="D24" s="14"/>
      <x:c r="E24" s="14"/>
      <x:c r="F24" s="14"/>
      <x:c r="G24" s="25"/>
      <x:c r="H24" s="25"/>
      <x:c r="I24" s="25"/>
      <x:c r="J24" s="14"/>
      <x:c r="K24" s="14"/>
      <x:c r="L24" s="14"/>
      <x:c r="M24" s="14"/>
    </x:row>
    <x:row r="25">
      <x:c r="A25" s="14"/>
      <x:c r="B25" s="14"/>
      <x:c r="C25" s="14"/>
      <x:c r="D25" s="14"/>
      <x:c r="E25" s="14"/>
      <x:c r="F25" s="14"/>
      <x:c r="G25" s="25"/>
      <x:c r="H25" s="25"/>
      <x:c r="I25" s="25"/>
      <x:c r="J25" s="14"/>
      <x:c r="K25" s="14"/>
      <x:c r="L25" s="14"/>
      <x:c r="M25" s="14"/>
    </x:row>
    <x:row r="26">
      <x:c r="A26" s="14"/>
      <x:c r="B26" s="14"/>
      <x:c r="C26" s="14"/>
      <x:c r="D26" s="14"/>
      <x:c r="E26" s="14"/>
      <x:c r="F26" s="14"/>
      <x:c r="G26" s="25"/>
      <x:c r="H26" s="25"/>
      <x:c r="I26" s="25"/>
      <x:c r="J26" s="14"/>
      <x:c r="K26" s="14"/>
      <x:c r="L26" s="14"/>
      <x:c r="M26" s="14"/>
    </x:row>
    <x:row r="27">
      <x:c r="A27" s="14"/>
      <x:c r="B27" s="14"/>
      <x:c r="C27" s="14"/>
      <x:c r="D27" s="14"/>
      <x:c r="E27" s="14"/>
      <x:c r="F27" s="14"/>
      <x:c r="G27" s="25"/>
      <x:c r="H27" s="25"/>
      <x:c r="I27" s="25"/>
      <x:c r="J27" s="14"/>
      <x:c r="K27" s="14"/>
      <x:c r="L27" s="14"/>
      <x:c r="M27" s="14"/>
    </x:row>
    <x:row r="28">
      <x:c r="A28" s="14"/>
      <x:c r="B28" s="14"/>
      <x:c r="C28" s="14"/>
      <x:c r="D28" s="14"/>
      <x:c r="E28" s="14"/>
      <x:c r="F28" s="14"/>
      <x:c r="G28" s="25"/>
      <x:c r="H28" s="25"/>
      <x:c r="I28" s="25"/>
      <x:c r="J28" s="14"/>
      <x:c r="K28" s="14"/>
      <x:c r="L28" s="14"/>
      <x:c r="M28" s="14"/>
    </x:row>
    <x:row r="29">
      <x:c r="A29" s="14"/>
      <x:c r="B29" s="14"/>
      <x:c r="C29" s="14"/>
      <x:c r="D29" s="14"/>
      <x:c r="E29" s="14"/>
      <x:c r="F29" s="14"/>
      <x:c r="G29" s="25"/>
      <x:c r="H29" s="25"/>
      <x:c r="I29" s="25"/>
      <x:c r="J29" s="14"/>
      <x:c r="K29" s="14"/>
      <x:c r="L29" s="14"/>
      <x:c r="M29" s="14"/>
    </x:row>
    <x:row r="30">
      <x:c r="A30" s="14"/>
      <x:c r="B30" s="14"/>
      <x:c r="C30" s="14"/>
      <x:c r="D30" s="14"/>
      <x:c r="E30" s="14"/>
      <x:c r="F30" s="14"/>
      <x:c r="G30" s="25"/>
      <x:c r="H30" s="25"/>
      <x:c r="I30" s="25"/>
      <x:c r="J30" s="14"/>
      <x:c r="K30" s="14"/>
      <x:c r="L30" s="14"/>
      <x:c r="M30" s="14"/>
    </x:row>
    <x:row r="31">
      <x:c r="A31" s="14"/>
      <x:c r="B31" s="14"/>
      <x:c r="C31" s="14"/>
      <x:c r="D31" s="14"/>
      <x:c r="E31" s="14"/>
      <x:c r="F31" s="14"/>
      <x:c r="G31" s="25"/>
      <x:c r="H31" s="25"/>
      <x:c r="I31" s="25"/>
      <x:c r="J31" s="14"/>
      <x:c r="K31" s="14"/>
      <x:c r="L31" s="14"/>
      <x:c r="M31" s="14"/>
    </x:row>
    <x:row r="32">
      <x:c r="A32" s="14"/>
      <x:c r="B32" s="14"/>
      <x:c r="C32" s="14"/>
      <x:c r="D32" s="14"/>
      <x:c r="E32" s="14"/>
      <x:c r="F32" s="14"/>
      <x:c r="G32" s="25"/>
      <x:c r="H32" s="25"/>
      <x:c r="I32" s="25"/>
      <x:c r="J32" s="14"/>
      <x:c r="K32" s="14"/>
      <x:c r="L32" s="14"/>
      <x:c r="M32" s="14"/>
    </x:row>
    <x:row r="33">
      <x:c r="A33" s="14"/>
      <x:c r="B33" s="14"/>
      <x:c r="C33" s="14"/>
      <x:c r="D33" s="14"/>
      <x:c r="E33" s="14"/>
      <x:c r="F33" s="14"/>
      <x:c r="G33" s="25"/>
      <x:c r="H33" s="25"/>
      <x:c r="I33" s="25"/>
      <x:c r="J33" s="14"/>
      <x:c r="K33" s="14"/>
      <x:c r="L33" s="14"/>
      <x:c r="M33" s="14"/>
    </x:row>
    <x:row r="34">
      <x:c r="A34" s="14"/>
      <x:c r="B34" s="14"/>
      <x:c r="C34" s="14"/>
      <x:c r="D34" s="14"/>
      <x:c r="E34" s="14"/>
      <x:c r="F34" s="14"/>
      <x:c r="G34" s="25"/>
      <x:c r="H34" s="25"/>
      <x:c r="I34" s="25"/>
      <x:c r="J34" s="14"/>
      <x:c r="K34" s="14"/>
      <x:c r="L34" s="14"/>
      <x:c r="M34" s="14"/>
    </x:row>
    <x:row r="35">
      <x:c r="A35" s="14"/>
      <x:c r="B35" s="14"/>
      <x:c r="C35" s="14"/>
      <x:c r="D35" s="14"/>
      <x:c r="E35" s="14"/>
      <x:c r="F35" s="14"/>
      <x:c r="G35" s="25"/>
      <x:c r="H35" s="25"/>
      <x:c r="I35" s="25"/>
      <x:c r="J35" s="14"/>
      <x:c r="K35" s="14"/>
      <x:c r="L35" s="14"/>
      <x:c r="M35" s="14"/>
    </x:row>
    <x:row r="36">
      <x:c r="A36" s="14"/>
      <x:c r="B36" s="14"/>
      <x:c r="C36" s="14"/>
      <x:c r="D36" s="14"/>
      <x:c r="E36" s="14"/>
      <x:c r="F36" s="14"/>
      <x:c r="G36" s="25"/>
      <x:c r="H36" s="25"/>
      <x:c r="I36" s="25"/>
      <x:c r="J36" s="14"/>
      <x:c r="K36" s="14"/>
      <x:c r="L36" s="14"/>
      <x:c r="M36" s="14"/>
    </x:row>
    <x:row r="37">
      <x:c r="A37" s="14"/>
      <x:c r="B37" s="14"/>
      <x:c r="C37" s="14"/>
      <x:c r="D37" s="14"/>
      <x:c r="E37" s="14"/>
      <x:c r="F37" s="14"/>
      <x:c r="G37" s="25"/>
      <x:c r="H37" s="25"/>
      <x:c r="I37" s="25"/>
      <x:c r="J37" s="14"/>
      <x:c r="K37" s="14"/>
      <x:c r="L37" s="14"/>
      <x:c r="M37" s="14"/>
    </x:row>
    <x:row r="38">
      <x:c r="A38" s="14"/>
      <x:c r="B38" s="14"/>
      <x:c r="C38" s="14"/>
      <x:c r="D38" s="14"/>
      <x:c r="E38" s="14"/>
      <x:c r="F38" s="14"/>
      <x:c r="G38" s="25"/>
      <x:c r="H38" s="25"/>
      <x:c r="I38" s="25"/>
      <x:c r="J38" s="14"/>
      <x:c r="K38" s="14"/>
      <x:c r="L38" s="14"/>
      <x:c r="M38" s="14"/>
    </x:row>
    <x:row r="39">
      <x:c r="A39" s="14"/>
      <x:c r="B39" s="14"/>
      <x:c r="C39" s="14"/>
      <x:c r="D39" s="14"/>
      <x:c r="E39" s="14"/>
      <x:c r="F39" s="14"/>
      <x:c r="G39" s="25"/>
      <x:c r="H39" s="25"/>
      <x:c r="I39" s="25"/>
      <x:c r="J39" s="14"/>
      <x:c r="K39" s="14"/>
      <x:c r="L39" s="14"/>
      <x:c r="M39" s="14"/>
    </x:row>
    <x:row r="40">
      <x:c r="A40" s="14"/>
      <x:c r="B40" s="14"/>
      <x:c r="C40" s="14"/>
      <x:c r="D40" s="14"/>
      <x:c r="E40" s="14"/>
      <x:c r="F40" s="14"/>
      <x:c r="G40" s="25"/>
      <x:c r="H40" s="25"/>
      <x:c r="I40" s="25"/>
      <x:c r="J40" s="14"/>
      <x:c r="K40" s="14"/>
      <x:c r="L40" s="14"/>
      <x:c r="M40" s="14"/>
    </x:row>
    <x:row r="41">
      <x:c r="A41" s="14"/>
      <x:c r="B41" s="14"/>
      <x:c r="C41" s="14"/>
      <x:c r="D41" s="14"/>
      <x:c r="E41" s="14"/>
      <x:c r="F41" s="14"/>
      <x:c r="G41" s="25"/>
      <x:c r="H41" s="25"/>
      <x:c r="I41" s="25"/>
      <x:c r="J41" s="14"/>
      <x:c r="K41" s="14"/>
      <x:c r="L41" s="14"/>
      <x:c r="M41" s="14"/>
    </x:row>
    <x:row r="42">
      <x:c r="A42" s="14"/>
      <x:c r="B42" s="14"/>
      <x:c r="C42" s="14"/>
      <x:c r="D42" s="14"/>
      <x:c r="E42" s="14"/>
      <x:c r="F42" s="14"/>
      <x:c r="G42" s="25"/>
      <x:c r="H42" s="25"/>
      <x:c r="I42" s="25"/>
      <x:c r="J42" s="14"/>
      <x:c r="K42" s="14"/>
      <x:c r="L42" s="14"/>
      <x:c r="M42" s="14"/>
    </x:row>
    <x:row r="43">
      <x:c r="A43" s="14"/>
      <x:c r="B43" s="14"/>
      <x:c r="C43" s="14"/>
      <x:c r="D43" s="14"/>
      <x:c r="E43" s="14"/>
      <x:c r="F43" s="14"/>
      <x:c r="G43" s="25"/>
      <x:c r="H43" s="25"/>
      <x:c r="I43" s="25"/>
      <x:c r="J43" s="14"/>
      <x:c r="K43" s="14"/>
      <x:c r="L43" s="14"/>
      <x:c r="M43" s="14"/>
    </x:row>
    <x:row r="44">
      <x:c r="A44" s="14"/>
      <x:c r="B44" s="14"/>
      <x:c r="C44" s="14"/>
      <x:c r="D44" s="14"/>
      <x:c r="E44" s="14"/>
      <x:c r="F44" s="14"/>
      <x:c r="G44" s="25"/>
      <x:c r="H44" s="25"/>
      <x:c r="I44" s="25"/>
      <x:c r="J44" s="14"/>
      <x:c r="K44" s="14"/>
      <x:c r="L44" s="14"/>
      <x:c r="M44" s="14"/>
    </x:row>
    <x:row r="45">
      <x:c r="A45" s="14"/>
      <x:c r="B45" s="14"/>
      <x:c r="C45" s="14"/>
      <x:c r="D45" s="14"/>
      <x:c r="E45" s="14"/>
      <x:c r="F45" s="14"/>
      <x:c r="G45" s="25"/>
      <x:c r="H45" s="25"/>
      <x:c r="I45" s="25"/>
      <x:c r="J45" s="14"/>
      <x:c r="K45" s="14"/>
      <x:c r="L45" s="14"/>
      <x:c r="M45" s="14"/>
    </x:row>
    <x:row r="46">
      <x:c r="A46" s="14"/>
      <x:c r="B46" s="14"/>
      <x:c r="C46" s="14"/>
      <x:c r="D46" s="14"/>
      <x:c r="E46" s="14"/>
      <x:c r="F46" s="14"/>
      <x:c r="G46" s="25"/>
      <x:c r="H46" s="25"/>
      <x:c r="I46" s="25"/>
      <x:c r="J46" s="14"/>
      <x:c r="K46" s="14"/>
      <x:c r="L46" s="14"/>
      <x:c r="M46" s="14"/>
    </x:row>
    <x:row r="47">
      <x:c r="A47" s="14"/>
      <x:c r="B47" s="14"/>
      <x:c r="C47" s="14"/>
      <x:c r="D47" s="14"/>
      <x:c r="E47" s="14"/>
      <x:c r="F47" s="14"/>
      <x:c r="G47" s="25"/>
      <x:c r="H47" s="25"/>
      <x:c r="I47" s="25"/>
      <x:c r="J47" s="14"/>
      <x:c r="K47" s="14"/>
      <x:c r="L47" s="14"/>
      <x:c r="M47" s="14"/>
    </x:row>
    <x:row r="48">
      <x:c r="A48" s="14"/>
      <x:c r="B48" s="14"/>
      <x:c r="C48" s="14"/>
      <x:c r="D48" s="14"/>
      <x:c r="E48" s="14"/>
      <x:c r="F48" s="14"/>
      <x:c r="G48" s="25"/>
      <x:c r="H48" s="25"/>
      <x:c r="I48" s="25"/>
      <x:c r="J48" s="14"/>
      <x:c r="K48" s="14"/>
      <x:c r="L48" s="14"/>
      <x:c r="M48" s="14"/>
    </x:row>
    <x:row r="49">
      <x:c r="A49" s="14"/>
      <x:c r="B49" s="14"/>
      <x:c r="C49" s="14"/>
      <x:c r="D49" s="14"/>
      <x:c r="E49" s="14"/>
      <x:c r="F49" s="14"/>
      <x:c r="G49" s="25"/>
      <x:c r="H49" s="25"/>
      <x:c r="I49" s="25"/>
      <x:c r="J49" s="14"/>
      <x:c r="K49" s="14"/>
      <x:c r="L49" s="14"/>
      <x:c r="M49" s="14"/>
    </x:row>
    <x:row r="50">
      <x:c r="A50" s="14"/>
      <x:c r="B50" s="14"/>
      <x:c r="C50" s="14"/>
      <x:c r="D50" s="14"/>
      <x:c r="E50" s="14"/>
      <x:c r="F50" s="14"/>
      <x:c r="G50" s="25"/>
      <x:c r="H50" s="25"/>
      <x:c r="I50" s="25"/>
      <x:c r="J50" s="14"/>
      <x:c r="K50" s="14"/>
      <x:c r="L50" s="14"/>
      <x:c r="M50" s="14"/>
    </x:row>
    <x:row r="51">
      <x:c r="A51" s="14"/>
      <x:c r="B51" s="14"/>
      <x:c r="C51" s="14"/>
      <x:c r="D51" s="14"/>
      <x:c r="E51" s="14"/>
      <x:c r="F51" s="14"/>
      <x:c r="G51" s="25"/>
      <x:c r="H51" s="25"/>
      <x:c r="I51" s="25"/>
      <x:c r="J51" s="14"/>
      <x:c r="K51" s="14"/>
      <x:c r="L51" s="14"/>
      <x:c r="M51" s="14"/>
    </x:row>
    <x:row r="52">
      <x:c r="A52" s="14"/>
      <x:c r="B52" s="14"/>
      <x:c r="C52" s="14"/>
      <x:c r="D52" s="14"/>
      <x:c r="E52" s="14"/>
      <x:c r="F52" s="14"/>
      <x:c r="G52" s="25"/>
      <x:c r="H52" s="25"/>
      <x:c r="I52" s="25"/>
      <x:c r="J52" s="14"/>
      <x:c r="K52" s="14"/>
      <x:c r="L52" s="14"/>
      <x:c r="M52" s="14"/>
    </x:row>
    <x:row r="53">
      <x:c r="A53" s="14"/>
      <x:c r="B53" s="14"/>
      <x:c r="C53" s="14"/>
      <x:c r="D53" s="14"/>
      <x:c r="E53" s="14"/>
      <x:c r="F53" s="14"/>
      <x:c r="G53" s="25"/>
      <x:c r="H53" s="25"/>
      <x:c r="I53" s="25"/>
      <x:c r="J53" s="14"/>
      <x:c r="K53" s="14"/>
      <x:c r="L53" s="14"/>
      <x:c r="M53" s="14"/>
    </x:row>
    <x:row r="54">
      <x:c r="A54" s="14"/>
      <x:c r="B54" s="14"/>
      <x:c r="C54" s="14"/>
      <x:c r="D54" s="14"/>
      <x:c r="E54" s="14"/>
      <x:c r="F54" s="14"/>
      <x:c r="G54" s="25"/>
      <x:c r="H54" s="25"/>
      <x:c r="I54" s="25"/>
      <x:c r="J54" s="14"/>
      <x:c r="K54" s="14"/>
      <x:c r="L54" s="14"/>
      <x:c r="M54" s="14"/>
    </x:row>
    <x:row r="55">
      <x:c r="A55" s="14"/>
      <x:c r="B55" s="14"/>
      <x:c r="C55" s="14"/>
      <x:c r="D55" s="14"/>
      <x:c r="E55" s="14"/>
      <x:c r="F55" s="14"/>
      <x:c r="G55" s="25"/>
      <x:c r="H55" s="25"/>
      <x:c r="I55" s="25"/>
      <x:c r="J55" s="14"/>
      <x:c r="K55" s="14"/>
      <x:c r="L55" s="14"/>
      <x:c r="M55" s="14"/>
    </x:row>
    <x:row r="56">
      <x:c r="A56" s="14"/>
      <x:c r="B56" s="14"/>
      <x:c r="C56" s="14"/>
      <x:c r="D56" s="14"/>
      <x:c r="E56" s="14"/>
      <x:c r="F56" s="14"/>
      <x:c r="G56" s="25"/>
      <x:c r="H56" s="25"/>
      <x:c r="I56" s="25"/>
      <x:c r="J56" s="14"/>
      <x:c r="K56" s="14"/>
      <x:c r="L56" s="14"/>
      <x:c r="M56" s="14"/>
    </x:row>
    <x:row r="57">
      <x:c r="A57" s="14"/>
      <x:c r="B57" s="14"/>
      <x:c r="C57" s="14"/>
      <x:c r="D57" s="14"/>
      <x:c r="E57" s="14"/>
      <x:c r="F57" s="14"/>
      <x:c r="G57" s="25"/>
      <x:c r="H57" s="25"/>
      <x:c r="I57" s="25"/>
      <x:c r="J57" s="14"/>
      <x:c r="K57" s="14"/>
      <x:c r="L57" s="14"/>
      <x:c r="M57" s="14"/>
    </x:row>
    <x:row r="58">
      <x:c r="A58" s="14"/>
      <x:c r="B58" s="14"/>
      <x:c r="C58" s="14"/>
      <x:c r="D58" s="14"/>
      <x:c r="E58" s="14"/>
      <x:c r="F58" s="14"/>
      <x:c r="G58" s="25"/>
      <x:c r="H58" s="25"/>
      <x:c r="I58" s="25"/>
      <x:c r="J58" s="14"/>
      <x:c r="K58" s="14"/>
      <x:c r="L58" s="14"/>
      <x:c r="M58" s="14"/>
    </x:row>
    <x:row r="59">
      <x:c r="A59" s="14"/>
      <x:c r="B59" s="14"/>
      <x:c r="C59" s="14"/>
      <x:c r="D59" s="14"/>
      <x:c r="E59" s="14"/>
      <x:c r="F59" s="14"/>
      <x:c r="G59" s="25"/>
      <x:c r="H59" s="25"/>
      <x:c r="I59" s="25"/>
      <x:c r="J59" s="14"/>
      <x:c r="K59" s="14"/>
      <x:c r="L59" s="14"/>
      <x:c r="M59" s="14"/>
    </x:row>
    <x:row r="60">
      <x:c r="A60" s="14"/>
      <x:c r="B60" s="14"/>
      <x:c r="C60" s="14"/>
      <x:c r="D60" s="14"/>
      <x:c r="E60" s="14"/>
      <x:c r="F60" s="14"/>
      <x:c r="G60" s="25"/>
      <x:c r="H60" s="25"/>
      <x:c r="I60" s="25"/>
      <x:c r="J60" s="14"/>
      <x:c r="K60" s="14"/>
      <x:c r="L60" s="14"/>
      <x:c r="M60" s="14"/>
    </x:row>
    <x:row r="61">
      <x:c r="A61" s="14"/>
      <x:c r="B61" s="14"/>
      <x:c r="C61" s="14"/>
      <x:c r="D61" s="14"/>
      <x:c r="E61" s="14"/>
      <x:c r="F61" s="14"/>
      <x:c r="G61" s="25"/>
      <x:c r="H61" s="25"/>
      <x:c r="I61" s="25"/>
      <x:c r="J61" s="14"/>
      <x:c r="K61" s="14"/>
      <x:c r="L61" s="14"/>
      <x:c r="M61" s="14"/>
    </x:row>
    <x:row r="62">
      <x:c r="A62" s="14"/>
      <x:c r="B62" s="14"/>
      <x:c r="C62" s="14"/>
      <x:c r="D62" s="14"/>
      <x:c r="E62" s="14"/>
      <x:c r="F62" s="14"/>
      <x:c r="G62" s="25"/>
      <x:c r="H62" s="25"/>
      <x:c r="I62" s="25"/>
      <x:c r="J62" s="14"/>
      <x:c r="K62" s="14"/>
      <x:c r="L62" s="14"/>
      <x:c r="M62" s="14"/>
    </x:row>
    <x:row r="63">
      <x:c r="A63" s="14"/>
      <x:c r="B63" s="14"/>
      <x:c r="C63" s="14"/>
      <x:c r="D63" s="14"/>
      <x:c r="E63" s="14"/>
      <x:c r="F63" s="14"/>
      <x:c r="G63" s="25"/>
      <x:c r="H63" s="25"/>
      <x:c r="I63" s="25"/>
      <x:c r="J63" s="14"/>
      <x:c r="K63" s="14"/>
      <x:c r="L63" s="14"/>
      <x:c r="M63" s="14"/>
    </x:row>
    <x:row r="64">
      <x:c r="A64" s="14"/>
      <x:c r="B64" s="14"/>
      <x:c r="C64" s="14"/>
      <x:c r="D64" s="14"/>
      <x:c r="E64" s="14"/>
      <x:c r="F64" s="14"/>
      <x:c r="G64" s="25"/>
      <x:c r="H64" s="25"/>
      <x:c r="I64" s="25"/>
      <x:c r="J64" s="14"/>
      <x:c r="K64" s="14"/>
      <x:c r="L64" s="14"/>
      <x:c r="M64" s="14"/>
    </x:row>
    <x:row r="65">
      <x:c r="A65" s="14"/>
      <x:c r="B65" s="14"/>
      <x:c r="C65" s="14"/>
      <x:c r="D65" s="14"/>
      <x:c r="E65" s="14"/>
      <x:c r="F65" s="14"/>
      <x:c r="G65" s="25"/>
      <x:c r="H65" s="25"/>
      <x:c r="I65" s="25"/>
      <x:c r="J65" s="14"/>
      <x:c r="K65" s="14"/>
      <x:c r="L65" s="14"/>
      <x:c r="M65" s="14"/>
    </x:row>
    <x:row r="66">
      <x:c r="A66" s="14"/>
      <x:c r="B66" s="14"/>
      <x:c r="C66" s="14"/>
      <x:c r="D66" s="14"/>
      <x:c r="E66" s="14"/>
      <x:c r="F66" s="14"/>
      <x:c r="G66" s="25"/>
      <x:c r="H66" s="25"/>
      <x:c r="I66" s="25"/>
      <x:c r="J66" s="14"/>
      <x:c r="K66" s="14"/>
      <x:c r="L66" s="14"/>
      <x:c r="M66" s="14"/>
    </x:row>
    <x:row r="67">
      <x:c r="A67" s="14"/>
      <x:c r="B67" s="14"/>
      <x:c r="C67" s="14"/>
      <x:c r="D67" s="14"/>
      <x:c r="E67" s="14"/>
      <x:c r="F67" s="14"/>
      <x:c r="G67" s="25"/>
      <x:c r="H67" s="25"/>
      <x:c r="I67" s="25"/>
      <x:c r="J67" s="14"/>
      <x:c r="K67" s="14"/>
      <x:c r="L67" s="14"/>
      <x:c r="M67" s="14"/>
    </x:row>
    <x:row r="68">
      <x:c r="A68" s="14"/>
      <x:c r="B68" s="14"/>
      <x:c r="C68" s="14"/>
      <x:c r="D68" s="14"/>
      <x:c r="E68" s="14"/>
      <x:c r="F68" s="14"/>
      <x:c r="G68" s="25"/>
      <x:c r="H68" s="25"/>
      <x:c r="I68" s="25"/>
      <x:c r="J68" s="14"/>
      <x:c r="K68" s="14"/>
      <x:c r="L68" s="14"/>
      <x:c r="M68" s="14"/>
    </x:row>
    <x:row r="69">
      <x:c r="A69" s="14"/>
      <x:c r="B69" s="14"/>
      <x:c r="C69" s="14"/>
      <x:c r="D69" s="14"/>
      <x:c r="E69" s="14"/>
      <x:c r="F69" s="14"/>
      <x:c r="G69" s="25"/>
      <x:c r="H69" s="25"/>
      <x:c r="I69" s="25"/>
      <x:c r="J69" s="14"/>
      <x:c r="K69" s="14"/>
      <x:c r="L69" s="14"/>
      <x:c r="M69" s="14"/>
    </x:row>
    <x:row r="70">
      <x:c r="A70" s="14"/>
      <x:c r="B70" s="14"/>
      <x:c r="C70" s="14"/>
      <x:c r="D70" s="14"/>
      <x:c r="E70" s="14"/>
      <x:c r="F70" s="14"/>
      <x:c r="G70" s="25"/>
      <x:c r="H70" s="25"/>
      <x:c r="I70" s="25"/>
      <x:c r="J70" s="14"/>
      <x:c r="K70" s="14"/>
      <x:c r="L70" s="14"/>
      <x:c r="M70" s="14"/>
    </x:row>
    <x:row r="71">
      <x:c r="A71" s="14"/>
      <x:c r="B71" s="14"/>
      <x:c r="C71" s="14"/>
      <x:c r="D71" s="14"/>
      <x:c r="E71" s="14"/>
      <x:c r="F71" s="14"/>
      <x:c r="G71" s="25"/>
      <x:c r="H71" s="25"/>
      <x:c r="I71" s="25"/>
      <x:c r="J71" s="14"/>
      <x:c r="K71" s="14"/>
      <x:c r="L71" s="14"/>
      <x:c r="M71" s="14"/>
    </x:row>
    <x:row r="72">
      <x:c r="A72" s="14"/>
      <x:c r="B72" s="14"/>
      <x:c r="C72" s="14"/>
      <x:c r="D72" s="14"/>
      <x:c r="E72" s="14"/>
      <x:c r="F72" s="14"/>
      <x:c r="G72" s="25"/>
      <x:c r="H72" s="25"/>
      <x:c r="I72" s="25"/>
      <x:c r="J72" s="14"/>
      <x:c r="K72" s="14"/>
      <x:c r="L72" s="14"/>
      <x:c r="M72" s="14"/>
    </x:row>
    <x:row r="73">
      <x:c r="A73" s="14"/>
      <x:c r="B73" s="14"/>
      <x:c r="C73" s="14"/>
      <x:c r="D73" s="14"/>
      <x:c r="E73" s="14"/>
      <x:c r="F73" s="14"/>
      <x:c r="G73" s="25"/>
      <x:c r="H73" s="25"/>
      <x:c r="I73" s="25"/>
      <x:c r="J73" s="14"/>
      <x:c r="K73" s="14"/>
      <x:c r="L73" s="14"/>
      <x:c r="M73" s="14"/>
    </x:row>
    <x:row r="74">
      <x:c r="A74" s="14"/>
      <x:c r="B74" s="14"/>
      <x:c r="C74" s="14"/>
      <x:c r="D74" s="14"/>
      <x:c r="E74" s="14"/>
      <x:c r="F74" s="14"/>
      <x:c r="G74" s="25"/>
      <x:c r="H74" s="25"/>
      <x:c r="I74" s="25"/>
      <x:c r="J74" s="14"/>
      <x:c r="K74" s="14"/>
      <x:c r="L74" s="14"/>
      <x:c r="M74" s="14"/>
    </x:row>
    <x:row r="75">
      <x:c r="A75" s="14"/>
      <x:c r="B75" s="14"/>
      <x:c r="C75" s="14"/>
      <x:c r="D75" s="14"/>
      <x:c r="E75" s="14"/>
      <x:c r="F75" s="14"/>
      <x:c r="G75" s="25"/>
      <x:c r="H75" s="25"/>
      <x:c r="I75" s="25"/>
      <x:c r="J75" s="14"/>
      <x:c r="K75" s="14"/>
      <x:c r="L75" s="14"/>
      <x:c r="M75" s="14"/>
    </x:row>
    <x:row r="76">
      <x:c r="A76" s="14"/>
      <x:c r="B76" s="14"/>
      <x:c r="C76" s="14"/>
      <x:c r="D76" s="14"/>
      <x:c r="E76" s="14"/>
      <x:c r="F76" s="14"/>
      <x:c r="G76" s="25"/>
      <x:c r="H76" s="25"/>
      <x:c r="I76" s="25"/>
      <x:c r="J76" s="14"/>
      <x:c r="K76" s="14"/>
      <x:c r="L76" s="14"/>
      <x:c r="M76" s="14"/>
    </x:row>
    <x:row r="77">
      <x:c r="A77" s="14"/>
      <x:c r="B77" s="14"/>
      <x:c r="C77" s="14"/>
      <x:c r="D77" s="14"/>
      <x:c r="E77" s="14"/>
      <x:c r="F77" s="14"/>
      <x:c r="G77" s="25"/>
      <x:c r="H77" s="25"/>
      <x:c r="I77" s="25"/>
      <x:c r="J77" s="14"/>
      <x:c r="K77" s="14"/>
      <x:c r="L77" s="14"/>
      <x:c r="M77" s="14"/>
    </x:row>
    <x:row r="78">
      <x:c r="A78" s="14"/>
      <x:c r="B78" s="14"/>
      <x:c r="C78" s="14"/>
      <x:c r="D78" s="14"/>
      <x:c r="E78" s="14"/>
      <x:c r="F78" s="14"/>
      <x:c r="G78" s="25"/>
      <x:c r="H78" s="25"/>
      <x:c r="I78" s="25"/>
      <x:c r="J78" s="14"/>
      <x:c r="K78" s="14"/>
      <x:c r="L78" s="14"/>
      <x:c r="M78" s="14"/>
    </x:row>
    <x:row r="79">
      <x:c r="A79" s="14"/>
      <x:c r="B79" s="14"/>
      <x:c r="C79" s="14"/>
      <x:c r="D79" s="14"/>
      <x:c r="E79" s="14"/>
      <x:c r="F79" s="14"/>
      <x:c r="G79" s="25"/>
      <x:c r="H79" s="25"/>
      <x:c r="I79" s="25"/>
      <x:c r="J79" s="14"/>
      <x:c r="K79" s="14"/>
      <x:c r="L79" s="14"/>
      <x:c r="M79" s="14"/>
    </x:row>
    <x:row r="80">
      <x:c r="A80" s="14"/>
      <x:c r="B80" s="14"/>
      <x:c r="C80" s="14"/>
      <x:c r="D80" s="14"/>
      <x:c r="E80" s="14"/>
      <x:c r="F80" s="14"/>
      <x:c r="G80" s="25"/>
      <x:c r="H80" s="25"/>
      <x:c r="I80" s="25"/>
      <x:c r="J80" s="14"/>
      <x:c r="K80" s="14"/>
      <x:c r="L80" s="14"/>
      <x:c r="M80" s="14"/>
    </x:row>
    <x:row r="81">
      <x:c r="A81" s="14"/>
      <x:c r="B81" s="14"/>
      <x:c r="C81" s="14"/>
      <x:c r="D81" s="14"/>
      <x:c r="E81" s="14"/>
      <x:c r="F81" s="14"/>
      <x:c r="G81" s="25"/>
      <x:c r="H81" s="25"/>
      <x:c r="I81" s="25"/>
      <x:c r="J81" s="14"/>
      <x:c r="K81" s="14"/>
      <x:c r="L81" s="14"/>
      <x:c r="M81" s="14"/>
    </x:row>
    <x:row r="82">
      <x:c r="A82" s="14"/>
      <x:c r="B82" s="14"/>
      <x:c r="C82" s="14"/>
      <x:c r="D82" s="14"/>
      <x:c r="E82" s="14"/>
      <x:c r="F82" s="14"/>
      <x:c r="G82" s="25"/>
      <x:c r="H82" s="25"/>
      <x:c r="I82" s="25"/>
      <x:c r="J82" s="14"/>
      <x:c r="K82" s="14"/>
      <x:c r="L82" s="14"/>
      <x:c r="M82" s="14"/>
    </x:row>
    <x:row r="83">
      <x:c r="A83" s="14"/>
      <x:c r="B83" s="14"/>
      <x:c r="C83" s="14"/>
      <x:c r="D83" s="14"/>
      <x:c r="E83" s="14"/>
      <x:c r="F83" s="14"/>
      <x:c r="G83" s="25"/>
      <x:c r="H83" s="25"/>
      <x:c r="I83" s="25"/>
      <x:c r="J83" s="14"/>
      <x:c r="K83" s="14"/>
      <x:c r="L83" s="14"/>
      <x:c r="M83" s="14"/>
    </x:row>
    <x:row r="84">
      <x:c r="A84" s="14"/>
      <x:c r="B84" s="14"/>
      <x:c r="C84" s="14"/>
      <x:c r="D84" s="14"/>
      <x:c r="E84" s="14"/>
      <x:c r="F84" s="14"/>
      <x:c r="G84" s="25"/>
      <x:c r="H84" s="25"/>
      <x:c r="I84" s="25"/>
      <x:c r="J84" s="14"/>
      <x:c r="K84" s="14"/>
      <x:c r="L84" s="14"/>
      <x:c r="M84" s="14"/>
    </x:row>
    <x:row r="85">
      <x:c r="A85" s="14"/>
      <x:c r="B85" s="14"/>
      <x:c r="C85" s="14"/>
      <x:c r="D85" s="14"/>
      <x:c r="E85" s="14"/>
      <x:c r="F85" s="14"/>
      <x:c r="G85" s="25"/>
      <x:c r="H85" s="25"/>
      <x:c r="I85" s="25"/>
      <x:c r="J85" s="14"/>
      <x:c r="K85" s="14"/>
      <x:c r="L85" s="14"/>
      <x:c r="M85" s="14"/>
    </x:row>
    <x:row r="86">
      <x:c r="A86" s="14"/>
      <x:c r="B86" s="14"/>
      <x:c r="C86" s="14"/>
      <x:c r="D86" s="14"/>
      <x:c r="E86" s="14"/>
      <x:c r="F86" s="14"/>
      <x:c r="G86" s="25"/>
      <x:c r="H86" s="25"/>
      <x:c r="I86" s="25"/>
      <x:c r="J86" s="14"/>
      <x:c r="K86" s="14"/>
      <x:c r="L86" s="14"/>
      <x:c r="M86" s="14"/>
    </x:row>
    <x:row r="87">
      <x:c r="A87" s="14"/>
      <x:c r="B87" s="14"/>
      <x:c r="C87" s="14"/>
      <x:c r="D87" s="14"/>
      <x:c r="E87" s="14"/>
      <x:c r="F87" s="14"/>
      <x:c r="G87" s="25"/>
      <x:c r="H87" s="25"/>
      <x:c r="I87" s="25"/>
      <x:c r="J87" s="14"/>
      <x:c r="K87" s="14"/>
      <x:c r="L87" s="14"/>
      <x:c r="M87" s="14"/>
    </x:row>
    <x:row r="88">
      <x:c r="A88" s="14"/>
      <x:c r="B88" s="14"/>
      <x:c r="C88" s="14"/>
      <x:c r="D88" s="14"/>
      <x:c r="E88" s="14"/>
      <x:c r="F88" s="14"/>
      <x:c r="G88" s="25"/>
      <x:c r="H88" s="25"/>
      <x:c r="I88" s="25"/>
      <x:c r="J88" s="14"/>
      <x:c r="K88" s="14"/>
      <x:c r="L88" s="14"/>
      <x:c r="M88" s="14"/>
    </x:row>
    <x:row r="89">
      <x:c r="A89" s="14"/>
      <x:c r="B89" s="14"/>
      <x:c r="C89" s="14"/>
      <x:c r="D89" s="14"/>
      <x:c r="E89" s="14"/>
      <x:c r="F89" s="14"/>
      <x:c r="G89" s="25"/>
      <x:c r="H89" s="25"/>
      <x:c r="I89" s="25"/>
      <x:c r="J89" s="14"/>
      <x:c r="K89" s="14"/>
      <x:c r="L89" s="14"/>
      <x:c r="M89" s="14"/>
    </x:row>
    <x:row r="90">
      <x:c r="A90" s="14"/>
      <x:c r="B90" s="14"/>
      <x:c r="C90" s="14"/>
      <x:c r="D90" s="14"/>
      <x:c r="E90" s="14"/>
      <x:c r="F90" s="14"/>
      <x:c r="G90" s="25"/>
      <x:c r="H90" s="25"/>
      <x:c r="I90" s="25"/>
      <x:c r="J90" s="14"/>
      <x:c r="K90" s="14"/>
      <x:c r="L90" s="14"/>
      <x:c r="M90" s="14"/>
    </x:row>
    <x:row r="91">
      <x:c r="A91" s="14"/>
      <x:c r="B91" s="14"/>
      <x:c r="C91" s="14"/>
      <x:c r="D91" s="14"/>
      <x:c r="E91" s="14"/>
      <x:c r="F91" s="14"/>
      <x:c r="G91" s="25"/>
      <x:c r="H91" s="25"/>
      <x:c r="I91" s="25"/>
      <x:c r="J91" s="14"/>
      <x:c r="K91" s="14"/>
      <x:c r="L91" s="14"/>
      <x:c r="M91" s="14"/>
    </x:row>
    <x:row r="92">
      <x:c r="A92" s="14"/>
      <x:c r="B92" s="14"/>
      <x:c r="C92" s="14"/>
      <x:c r="D92" s="14"/>
      <x:c r="E92" s="14"/>
      <x:c r="F92" s="14"/>
      <x:c r="G92" s="25"/>
      <x:c r="H92" s="25"/>
      <x:c r="I92" s="25"/>
      <x:c r="J92" s="14"/>
      <x:c r="K92" s="14"/>
      <x:c r="L92" s="14"/>
      <x:c r="M92" s="14"/>
    </x:row>
    <x:row r="93">
      <x:c r="A93" s="14"/>
      <x:c r="B93" s="14"/>
      <x:c r="C93" s="14"/>
      <x:c r="D93" s="14"/>
      <x:c r="E93" s="14"/>
      <x:c r="F93" s="14"/>
      <x:c r="G93" s="25"/>
      <x:c r="H93" s="25"/>
      <x:c r="I93" s="25"/>
      <x:c r="J93" s="14"/>
      <x:c r="K93" s="14"/>
      <x:c r="L93" s="14"/>
      <x:c r="M93" s="14"/>
    </x:row>
    <x:row r="94">
      <x:c r="A94" s="14"/>
      <x:c r="B94" s="14"/>
      <x:c r="C94" s="14"/>
      <x:c r="D94" s="14"/>
      <x:c r="E94" s="14"/>
      <x:c r="F94" s="14"/>
      <x:c r="G94" s="25"/>
      <x:c r="H94" s="25"/>
      <x:c r="I94" s="25"/>
      <x:c r="J94" s="14"/>
      <x:c r="K94" s="14"/>
      <x:c r="L94" s="14"/>
      <x:c r="M94" s="14"/>
    </x:row>
    <x:row r="95">
      <x:c r="A95" s="14"/>
      <x:c r="B95" s="14"/>
      <x:c r="C95" s="14"/>
      <x:c r="D95" s="14"/>
      <x:c r="E95" s="14"/>
      <x:c r="F95" s="14"/>
      <x:c r="G95" s="25"/>
      <x:c r="H95" s="25"/>
      <x:c r="I95" s="25"/>
      <x:c r="J95" s="14"/>
      <x:c r="K95" s="14"/>
      <x:c r="L95" s="14"/>
      <x:c r="M95" s="14"/>
    </x:row>
    <x:row r="96">
      <x:c r="A96" s="14"/>
      <x:c r="B96" s="14"/>
      <x:c r="C96" s="14"/>
      <x:c r="D96" s="14"/>
      <x:c r="E96" s="14"/>
      <x:c r="F96" s="14"/>
      <x:c r="G96" s="25"/>
      <x:c r="H96" s="25"/>
      <x:c r="I96" s="25"/>
      <x:c r="J96" s="14"/>
      <x:c r="K96" s="14"/>
      <x:c r="L96" s="14"/>
      <x:c r="M96" s="14"/>
    </x:row>
    <x:row r="97">
      <x:c r="A97" s="14"/>
      <x:c r="B97" s="14"/>
      <x:c r="C97" s="14"/>
      <x:c r="D97" s="14"/>
      <x:c r="E97" s="14"/>
      <x:c r="F97" s="14"/>
      <x:c r="G97" s="25"/>
      <x:c r="H97" s="25"/>
      <x:c r="I97" s="25"/>
      <x:c r="J97" s="14"/>
      <x:c r="K97" s="14"/>
      <x:c r="L97" s="14"/>
      <x:c r="M97" s="14"/>
    </x:row>
    <x:row r="98">
      <x:c r="A98" s="14"/>
      <x:c r="B98" s="14"/>
      <x:c r="C98" s="14"/>
      <x:c r="D98" s="14"/>
      <x:c r="E98" s="14"/>
      <x:c r="F98" s="14"/>
      <x:c r="G98" s="25"/>
      <x:c r="H98" s="25"/>
      <x:c r="I98" s="25"/>
      <x:c r="J98" s="14"/>
      <x:c r="K98" s="14"/>
      <x:c r="L98" s="14"/>
      <x:c r="M98" s="14"/>
    </x:row>
    <x:row r="99">
      <x:c r="A99" s="14"/>
      <x:c r="B99" s="14"/>
      <x:c r="C99" s="14"/>
      <x:c r="D99" s="14"/>
      <x:c r="E99" s="14"/>
      <x:c r="F99" s="14"/>
      <x:c r="G99" s="25"/>
      <x:c r="H99" s="25"/>
      <x:c r="I99" s="25"/>
      <x:c r="J99" s="14"/>
      <x:c r="K99" s="14"/>
      <x:c r="L99" s="14"/>
      <x:c r="M99" s="14"/>
    </x:row>
    <x:row r="100">
      <x:c r="A100" s="14"/>
      <x:c r="B100" s="14"/>
      <x:c r="C100" s="14"/>
      <x:c r="D100" s="14"/>
      <x:c r="E100" s="14"/>
      <x:c r="F100" s="14"/>
      <x:c r="G100" s="25"/>
      <x:c r="H100" s="25"/>
      <x:c r="I100" s="25"/>
      <x:c r="J100" s="14"/>
      <x:c r="K100" s="14"/>
      <x:c r="L100" s="14"/>
      <x:c r="M100" s="14"/>
    </x:row>
    <x:row r="101">
      <x:c r="A101" s="14"/>
      <x:c r="B101" s="14"/>
      <x:c r="C101" s="14"/>
      <x:c r="D101" s="14"/>
      <x:c r="E101" s="14"/>
      <x:c r="F101" s="14"/>
      <x:c r="G101" s="25"/>
      <x:c r="H101" s="25"/>
      <x:c r="I101" s="25"/>
      <x:c r="J101" s="14"/>
      <x:c r="K101" s="14"/>
      <x:c r="L101" s="14"/>
      <x:c r="M101" s="14"/>
    </x:row>
    <x:row r="102">
      <x:c r="A102" s="14"/>
      <x:c r="B102" s="14"/>
      <x:c r="C102" s="14"/>
      <x:c r="D102" s="14"/>
      <x:c r="E102" s="14"/>
      <x:c r="F102" s="14"/>
      <x:c r="G102" s="25"/>
      <x:c r="H102" s="25"/>
      <x:c r="I102" s="25"/>
      <x:c r="J102" s="14"/>
      <x:c r="K102" s="14"/>
      <x:c r="L102" s="14"/>
      <x:c r="M102" s="14"/>
    </x:row>
    <x:row r="103">
      <x:c r="A103" s="14"/>
      <x:c r="B103" s="14"/>
      <x:c r="C103" s="14"/>
      <x:c r="D103" s="14"/>
      <x:c r="E103" s="14"/>
      <x:c r="F103" s="14"/>
      <x:c r="G103" s="25"/>
      <x:c r="H103" s="25"/>
      <x:c r="I103" s="25"/>
      <x:c r="J103" s="14"/>
      <x:c r="K103" s="14"/>
      <x:c r="L103" s="14"/>
      <x:c r="M103" s="14"/>
    </x:row>
    <x:row r="104">
      <x:c r="A104" s="14"/>
      <x:c r="B104" s="14"/>
      <x:c r="C104" s="14"/>
      <x:c r="D104" s="14"/>
      <x:c r="E104" s="14"/>
      <x:c r="F104" s="14"/>
      <x:c r="G104" s="25"/>
      <x:c r="H104" s="25"/>
      <x:c r="I104" s="25"/>
      <x:c r="J104" s="14"/>
      <x:c r="K104" s="14"/>
      <x:c r="L104" s="14"/>
      <x:c r="M104" s="14"/>
    </x:row>
    <x:row r="105">
      <x:c r="A105" s="14"/>
      <x:c r="B105" s="14"/>
      <x:c r="C105" s="14"/>
      <x:c r="D105" s="14"/>
      <x:c r="E105" s="14"/>
      <x:c r="F105" s="14"/>
      <x:c r="G105" s="25"/>
      <x:c r="H105" s="25"/>
      <x:c r="I105" s="25"/>
      <x:c r="J105" s="14"/>
      <x:c r="K105" s="14"/>
      <x:c r="L105" s="14"/>
      <x:c r="M105" s="14"/>
    </x:row>
    <x:row r="106">
      <x:c r="A106" s="14"/>
      <x:c r="B106" s="14"/>
      <x:c r="C106" s="14"/>
      <x:c r="D106" s="14"/>
      <x:c r="E106" s="14"/>
      <x:c r="F106" s="14"/>
      <x:c r="G106" s="25"/>
      <x:c r="H106" s="25"/>
      <x:c r="I106" s="25"/>
      <x:c r="J106" s="14"/>
      <x:c r="K106" s="14"/>
      <x:c r="L106" s="14"/>
      <x:c r="M106" s="14"/>
    </x:row>
    <x:row r="107">
      <x:c r="A107" s="14"/>
      <x:c r="B107" s="14"/>
      <x:c r="C107" s="14"/>
      <x:c r="D107" s="14"/>
      <x:c r="E107" s="14"/>
      <x:c r="F107" s="14"/>
      <x:c r="G107" s="25"/>
      <x:c r="H107" s="25"/>
      <x:c r="I107" s="25"/>
      <x:c r="J107" s="14"/>
      <x:c r="K107" s="14"/>
      <x:c r="L107" s="14"/>
      <x:c r="M107" s="14"/>
    </x:row>
    <x:row r="108">
      <x:c r="A108" s="14"/>
      <x:c r="B108" s="14"/>
      <x:c r="C108" s="14"/>
      <x:c r="D108" s="14"/>
      <x:c r="E108" s="14"/>
      <x:c r="F108" s="14"/>
      <x:c r="G108" s="25"/>
      <x:c r="H108" s="25"/>
      <x:c r="I108" s="25"/>
      <x:c r="J108" s="14"/>
      <x:c r="K108" s="14"/>
      <x:c r="L108" s="14"/>
      <x:c r="M108" s="14"/>
    </x:row>
    <x:row r="109">
      <x:c r="A109" s="14"/>
      <x:c r="B109" s="14"/>
      <x:c r="C109" s="14"/>
      <x:c r="D109" s="14"/>
      <x:c r="E109" s="14"/>
      <x:c r="F109" s="14"/>
      <x:c r="G109" s="25"/>
      <x:c r="H109" s="25"/>
      <x:c r="I109" s="25"/>
      <x:c r="J109" s="14"/>
      <x:c r="K109" s="14"/>
      <x:c r="L109" s="14"/>
      <x:c r="M109" s="14"/>
    </x:row>
    <x:row r="110">
      <x:c r="A110" s="14"/>
      <x:c r="B110" s="14"/>
      <x:c r="C110" s="14"/>
      <x:c r="D110" s="14"/>
      <x:c r="E110" s="14"/>
      <x:c r="F110" s="14"/>
      <x:c r="G110" s="25"/>
      <x:c r="H110" s="25"/>
      <x:c r="I110" s="25"/>
      <x:c r="J110" s="14"/>
      <x:c r="K110" s="14"/>
      <x:c r="L110" s="14"/>
      <x:c r="M110" s="14"/>
    </x:row>
    <x:row r="111">
      <x:c r="A111" s="14"/>
      <x:c r="B111" s="14"/>
      <x:c r="C111" s="14"/>
      <x:c r="D111" s="14"/>
      <x:c r="E111" s="14"/>
      <x:c r="F111" s="14"/>
      <x:c r="G111" s="25"/>
      <x:c r="H111" s="25"/>
      <x:c r="I111" s="25"/>
      <x:c r="J111" s="14"/>
      <x:c r="K111" s="14"/>
      <x:c r="L111" s="14"/>
      <x:c r="M111" s="14"/>
    </x:row>
    <x:row r="112">
      <x:c r="A112" s="14"/>
      <x:c r="B112" s="14"/>
      <x:c r="C112" s="14"/>
      <x:c r="D112" s="14"/>
      <x:c r="E112" s="14"/>
      <x:c r="F112" s="14"/>
      <x:c r="G112" s="25"/>
      <x:c r="H112" s="25"/>
      <x:c r="I112" s="25"/>
      <x:c r="J112" s="14"/>
      <x:c r="K112" s="14"/>
      <x:c r="L112" s="14"/>
      <x:c r="M112" s="14"/>
    </x:row>
    <x:row r="113">
      <x:c r="A113" s="14"/>
      <x:c r="B113" s="14"/>
      <x:c r="C113" s="14"/>
      <x:c r="D113" s="14"/>
      <x:c r="E113" s="14"/>
      <x:c r="F113" s="14"/>
      <x:c r="G113" s="25"/>
      <x:c r="H113" s="25"/>
      <x:c r="I113" s="25"/>
      <x:c r="J113" s="14"/>
      <x:c r="K113" s="14"/>
      <x:c r="L113" s="14"/>
      <x:c r="M113" s="14"/>
    </x:row>
    <x:row r="114">
      <x:c r="A114" s="14"/>
      <x:c r="B114" s="14"/>
      <x:c r="C114" s="14"/>
      <x:c r="D114" s="14"/>
      <x:c r="E114" s="14"/>
      <x:c r="F114" s="14"/>
      <x:c r="G114" s="25"/>
      <x:c r="H114" s="25"/>
      <x:c r="I114" s="25"/>
      <x:c r="J114" s="14"/>
      <x:c r="K114" s="14"/>
      <x:c r="L114" s="14"/>
      <x:c r="M114" s="14"/>
    </x:row>
    <x:row r="115">
      <x:c r="A115" s="14"/>
      <x:c r="B115" s="14"/>
      <x:c r="C115" s="14"/>
      <x:c r="D115" s="14"/>
      <x:c r="E115" s="14"/>
      <x:c r="F115" s="14"/>
      <x:c r="G115" s="25"/>
      <x:c r="H115" s="25"/>
      <x:c r="I115" s="25"/>
      <x:c r="J115" s="14"/>
      <x:c r="K115" s="14"/>
      <x:c r="L115" s="14"/>
      <x:c r="M115" s="14"/>
    </x:row>
    <x:row r="116">
      <x:c r="A116" s="14"/>
      <x:c r="B116" s="14"/>
      <x:c r="C116" s="14"/>
      <x:c r="D116" s="14"/>
      <x:c r="E116" s="14"/>
      <x:c r="F116" s="14"/>
      <x:c r="G116" s="25"/>
      <x:c r="H116" s="25"/>
      <x:c r="I116" s="25"/>
      <x:c r="J116" s="14"/>
      <x:c r="K116" s="14"/>
      <x:c r="L116" s="14"/>
      <x:c r="M116" s="14"/>
    </x:row>
    <x:row r="117">
      <x:c r="A117" s="14"/>
      <x:c r="B117" s="14"/>
      <x:c r="C117" s="14"/>
      <x:c r="D117" s="14"/>
      <x:c r="E117" s="14"/>
      <x:c r="F117" s="14"/>
      <x:c r="G117" s="25"/>
      <x:c r="H117" s="25"/>
      <x:c r="I117" s="25"/>
      <x:c r="J117" s="14"/>
      <x:c r="K117" s="14"/>
      <x:c r="L117" s="14"/>
      <x:c r="M117" s="14"/>
    </x:row>
    <x:row r="118">
      <x:c r="A118" s="14"/>
      <x:c r="B118" s="14"/>
      <x:c r="C118" s="14"/>
      <x:c r="D118" s="14"/>
      <x:c r="E118" s="14"/>
      <x:c r="F118" s="14"/>
      <x:c r="G118" s="25"/>
      <x:c r="H118" s="25"/>
      <x:c r="I118" s="25"/>
      <x:c r="J118" s="14"/>
      <x:c r="K118" s="14"/>
      <x:c r="L118" s="14"/>
      <x:c r="M118" s="14"/>
    </x:row>
    <x:row r="119">
      <x:c r="A119" s="14"/>
      <x:c r="B119" s="14"/>
      <x:c r="C119" s="14"/>
      <x:c r="D119" s="14"/>
      <x:c r="E119" s="14"/>
      <x:c r="F119" s="14"/>
      <x:c r="G119" s="25"/>
      <x:c r="H119" s="25"/>
      <x:c r="I119" s="25"/>
      <x:c r="J119" s="14"/>
      <x:c r="K119" s="14"/>
      <x:c r="L119" s="14"/>
      <x:c r="M119" s="14"/>
    </x:row>
    <x:row r="120">
      <x:c r="A120" s="14"/>
      <x:c r="B120" s="14"/>
      <x:c r="C120" s="14"/>
      <x:c r="D120" s="14"/>
      <x:c r="E120" s="14"/>
      <x:c r="F120" s="14"/>
      <x:c r="G120" s="25"/>
      <x:c r="H120" s="25"/>
      <x:c r="I120" s="25"/>
      <x:c r="J120" s="14"/>
      <x:c r="K120" s="14"/>
      <x:c r="L120" s="14"/>
      <x:c r="M120" s="14"/>
    </x:row>
    <x:row r="121">
      <x:c r="A121" s="14"/>
      <x:c r="B121" s="14"/>
      <x:c r="C121" s="14"/>
      <x:c r="D121" s="14"/>
      <x:c r="E121" s="14"/>
      <x:c r="F121" s="14"/>
      <x:c r="G121" s="25"/>
      <x:c r="H121" s="25"/>
      <x:c r="I121" s="25"/>
      <x:c r="J121" s="14"/>
      <x:c r="K121" s="14"/>
      <x:c r="L121" s="14"/>
      <x:c r="M121" s="14"/>
    </x:row>
    <x:row r="122">
      <x:c r="A122" s="14"/>
      <x:c r="B122" s="14"/>
      <x:c r="C122" s="14"/>
      <x:c r="D122" s="14"/>
      <x:c r="E122" s="14"/>
      <x:c r="F122" s="14"/>
      <x:c r="G122" s="25"/>
      <x:c r="H122" s="25"/>
      <x:c r="I122" s="25"/>
      <x:c r="J122" s="14"/>
      <x:c r="K122" s="14"/>
      <x:c r="L122" s="14"/>
      <x:c r="M122" s="14"/>
    </x:row>
    <x:row r="123">
      <x:c r="A123" s="14"/>
      <x:c r="B123" s="14"/>
      <x:c r="C123" s="14"/>
      <x:c r="D123" s="14"/>
      <x:c r="E123" s="14"/>
      <x:c r="F123" s="14"/>
      <x:c r="G123" s="25"/>
      <x:c r="H123" s="25"/>
      <x:c r="I123" s="25"/>
      <x:c r="J123" s="14"/>
      <x:c r="K123" s="14"/>
      <x:c r="L123" s="14"/>
      <x:c r="M123" s="14"/>
    </x:row>
    <x:row r="124">
      <x:c r="A124" s="14"/>
      <x:c r="B124" s="14"/>
      <x:c r="C124" s="14"/>
      <x:c r="D124" s="14"/>
      <x:c r="E124" s="14"/>
      <x:c r="F124" s="14"/>
      <x:c r="G124" s="25"/>
      <x:c r="H124" s="25"/>
      <x:c r="I124" s="25"/>
      <x:c r="J124" s="14"/>
      <x:c r="K124" s="14"/>
      <x:c r="L124" s="14"/>
      <x:c r="M124" s="14"/>
    </x:row>
    <x:row r="125">
      <x:c r="A125" s="14"/>
      <x:c r="B125" s="14"/>
      <x:c r="C125" s="14"/>
      <x:c r="D125" s="14"/>
      <x:c r="E125" s="14"/>
      <x:c r="F125" s="14"/>
      <x:c r="G125" s="25"/>
      <x:c r="H125" s="25"/>
      <x:c r="I125" s="25"/>
      <x:c r="J125" s="14"/>
      <x:c r="K125" s="14"/>
      <x:c r="L125" s="14"/>
      <x:c r="M125" s="14"/>
    </x:row>
    <x:row r="126">
      <x:c r="A126" s="14"/>
      <x:c r="B126" s="14"/>
      <x:c r="C126" s="14"/>
      <x:c r="D126" s="14"/>
      <x:c r="E126" s="14"/>
      <x:c r="F126" s="14"/>
      <x:c r="G126" s="25"/>
      <x:c r="H126" s="25"/>
      <x:c r="I126" s="25"/>
      <x:c r="J126" s="14"/>
      <x:c r="K126" s="14"/>
      <x:c r="L126" s="14"/>
      <x:c r="M126" s="14"/>
    </x:row>
    <x:row r="127">
      <x:c r="A127" s="14"/>
      <x:c r="B127" s="14"/>
      <x:c r="C127" s="14"/>
      <x:c r="D127" s="14"/>
      <x:c r="E127" s="14"/>
      <x:c r="F127" s="14"/>
      <x:c r="G127" s="25"/>
      <x:c r="H127" s="25"/>
      <x:c r="I127" s="25"/>
      <x:c r="J127" s="14"/>
      <x:c r="K127" s="14"/>
      <x:c r="L127" s="14"/>
      <x:c r="M127" s="14"/>
    </x:row>
    <x:row r="128">
      <x:c r="A128" s="14"/>
      <x:c r="B128" s="14"/>
      <x:c r="C128" s="14"/>
      <x:c r="D128" s="14"/>
      <x:c r="E128" s="14"/>
      <x:c r="F128" s="14"/>
      <x:c r="G128" s="25"/>
      <x:c r="H128" s="25"/>
      <x:c r="I128" s="25"/>
      <x:c r="J128" s="14"/>
      <x:c r="K128" s="14"/>
      <x:c r="L128" s="14"/>
      <x:c r="M128" s="14"/>
    </x:row>
    <x:row r="129">
      <x:c r="A129" s="14"/>
      <x:c r="B129" s="14"/>
      <x:c r="C129" s="14"/>
      <x:c r="D129" s="14"/>
      <x:c r="E129" s="14"/>
      <x:c r="F129" s="14"/>
      <x:c r="G129" s="25"/>
      <x:c r="H129" s="25"/>
      <x:c r="I129" s="25"/>
      <x:c r="J129" s="14"/>
      <x:c r="K129" s="14"/>
      <x:c r="L129" s="14"/>
      <x:c r="M129" s="14"/>
    </x:row>
    <x:row r="130">
      <x:c r="A130" s="14"/>
      <x:c r="B130" s="14"/>
      <x:c r="C130" s="14"/>
      <x:c r="D130" s="14"/>
      <x:c r="E130" s="14"/>
      <x:c r="F130" s="14"/>
      <x:c r="G130" s="25"/>
      <x:c r="H130" s="25"/>
      <x:c r="I130" s="25"/>
      <x:c r="J130" s="14"/>
      <x:c r="K130" s="14"/>
      <x:c r="L130" s="14"/>
      <x:c r="M130" s="14"/>
    </x:row>
    <x:row r="131">
      <x:c r="A131" s="14"/>
      <x:c r="B131" s="14"/>
      <x:c r="C131" s="14"/>
      <x:c r="D131" s="14"/>
      <x:c r="E131" s="14"/>
      <x:c r="F131" s="14"/>
      <x:c r="G131" s="25"/>
      <x:c r="H131" s="25"/>
      <x:c r="I131" s="25"/>
      <x:c r="J131" s="14"/>
      <x:c r="K131" s="14"/>
      <x:c r="L131" s="14"/>
      <x:c r="M131" s="14"/>
    </x:row>
    <x:row r="132">
      <x:c r="A132" s="14"/>
      <x:c r="B132" s="14"/>
      <x:c r="C132" s="14"/>
      <x:c r="D132" s="14"/>
      <x:c r="E132" s="14"/>
      <x:c r="F132" s="14"/>
      <x:c r="G132" s="25"/>
      <x:c r="H132" s="25"/>
      <x:c r="I132" s="25"/>
      <x:c r="J132" s="14"/>
      <x:c r="K132" s="14"/>
      <x:c r="L132" s="14"/>
      <x:c r="M132" s="14"/>
    </x:row>
    <x:row r="133">
      <x:c r="A133" s="14"/>
      <x:c r="B133" s="14"/>
      <x:c r="C133" s="14"/>
      <x:c r="D133" s="14"/>
      <x:c r="E133" s="14"/>
      <x:c r="F133" s="14"/>
      <x:c r="G133" s="25"/>
      <x:c r="H133" s="25"/>
      <x:c r="I133" s="25"/>
      <x:c r="J133" s="14"/>
      <x:c r="K133" s="14"/>
      <x:c r="L133" s="14"/>
      <x:c r="M133" s="14"/>
    </x:row>
    <x:row r="134">
      <x:c r="A134" s="14"/>
      <x:c r="B134" s="14"/>
      <x:c r="C134" s="14"/>
      <x:c r="D134" s="14"/>
      <x:c r="E134" s="14"/>
      <x:c r="F134" s="14"/>
      <x:c r="G134" s="25"/>
      <x:c r="H134" s="25"/>
      <x:c r="I134" s="25"/>
      <x:c r="J134" s="14"/>
      <x:c r="K134" s="14"/>
      <x:c r="L134" s="14"/>
      <x:c r="M134" s="14"/>
    </x:row>
    <x:row r="135">
      <x:c r="A135" s="14"/>
      <x:c r="B135" s="14"/>
      <x:c r="C135" s="14"/>
      <x:c r="D135" s="14"/>
      <x:c r="E135" s="14"/>
      <x:c r="F135" s="14"/>
      <x:c r="G135" s="25"/>
      <x:c r="H135" s="25"/>
      <x:c r="I135" s="25"/>
      <x:c r="J135" s="14"/>
      <x:c r="K135" s="14"/>
      <x:c r="L135" s="14"/>
      <x:c r="M135" s="14"/>
    </x:row>
    <x:row r="136">
      <x:c r="A136" s="14"/>
      <x:c r="B136" s="14"/>
      <x:c r="C136" s="14"/>
      <x:c r="D136" s="14"/>
      <x:c r="E136" s="14"/>
      <x:c r="F136" s="14"/>
      <x:c r="G136" s="25"/>
      <x:c r="H136" s="25"/>
      <x:c r="I136" s="25"/>
      <x:c r="J136" s="14"/>
      <x:c r="K136" s="14"/>
      <x:c r="L136" s="14"/>
      <x:c r="M136" s="14"/>
    </x:row>
    <x:row r="137">
      <x:c r="A137" s="14"/>
      <x:c r="B137" s="14"/>
      <x:c r="C137" s="14"/>
      <x:c r="D137" s="14"/>
      <x:c r="E137" s="14"/>
      <x:c r="F137" s="14"/>
      <x:c r="G137" s="25"/>
      <x:c r="H137" s="25"/>
      <x:c r="I137" s="25"/>
      <x:c r="J137" s="14"/>
      <x:c r="K137" s="14"/>
      <x:c r="L137" s="14"/>
      <x:c r="M137" s="14"/>
    </x:row>
    <x:row r="138">
      <x:c r="A138" s="14"/>
      <x:c r="B138" s="14"/>
      <x:c r="C138" s="14"/>
      <x:c r="D138" s="14"/>
      <x:c r="E138" s="14"/>
      <x:c r="F138" s="14"/>
      <x:c r="G138" s="25"/>
      <x:c r="H138" s="25"/>
      <x:c r="I138" s="25"/>
      <x:c r="J138" s="14"/>
      <x:c r="K138" s="14"/>
      <x:c r="L138" s="14"/>
      <x:c r="M138" s="14"/>
    </x:row>
    <x:row r="139">
      <x:c r="A139" s="14"/>
      <x:c r="B139" s="14"/>
      <x:c r="C139" s="14"/>
      <x:c r="D139" s="14"/>
      <x:c r="E139" s="14"/>
      <x:c r="F139" s="14"/>
      <x:c r="G139" s="25"/>
      <x:c r="H139" s="25"/>
      <x:c r="I139" s="25"/>
      <x:c r="J139" s="14"/>
      <x:c r="K139" s="14"/>
      <x:c r="L139" s="14"/>
      <x:c r="M139" s="14"/>
    </x:row>
    <x:row r="140">
      <x:c r="A140" s="14"/>
      <x:c r="B140" s="14"/>
      <x:c r="C140" s="14"/>
      <x:c r="D140" s="14"/>
      <x:c r="E140" s="14"/>
      <x:c r="F140" s="14"/>
      <x:c r="G140" s="25"/>
      <x:c r="H140" s="25"/>
      <x:c r="I140" s="25"/>
      <x:c r="J140" s="14"/>
      <x:c r="K140" s="14"/>
      <x:c r="L140" s="14"/>
      <x:c r="M140" s="14"/>
    </x:row>
    <x:row r="141">
      <x:c r="A141" s="14"/>
      <x:c r="B141" s="14"/>
      <x:c r="C141" s="14"/>
      <x:c r="D141" s="14"/>
      <x:c r="E141" s="14"/>
      <x:c r="F141" s="14"/>
      <x:c r="G141" s="25"/>
      <x:c r="H141" s="25"/>
      <x:c r="I141" s="25"/>
      <x:c r="J141" s="14"/>
      <x:c r="K141" s="14"/>
      <x:c r="L141" s="14"/>
      <x:c r="M141" s="14"/>
    </x:row>
    <x:row r="142">
      <x:c r="A142" s="14"/>
      <x:c r="B142" s="14"/>
      <x:c r="C142" s="14"/>
      <x:c r="D142" s="14"/>
      <x:c r="E142" s="14"/>
      <x:c r="F142" s="14"/>
      <x:c r="G142" s="25"/>
      <x:c r="H142" s="25"/>
      <x:c r="I142" s="25"/>
      <x:c r="J142" s="14"/>
      <x:c r="K142" s="14"/>
      <x:c r="L142" s="14"/>
      <x:c r="M142" s="14"/>
    </x:row>
    <x:row r="143">
      <x:c r="A143" s="14"/>
      <x:c r="B143" s="14"/>
      <x:c r="C143" s="14"/>
      <x:c r="D143" s="14"/>
      <x:c r="E143" s="14"/>
      <x:c r="F143" s="14"/>
      <x:c r="G143" s="25"/>
      <x:c r="H143" s="25"/>
      <x:c r="I143" s="25"/>
      <x:c r="J143" s="14"/>
      <x:c r="K143" s="14"/>
      <x:c r="L143" s="14"/>
      <x:c r="M143" s="14"/>
    </x:row>
    <x:row r="144">
      <x:c r="A144" s="14"/>
      <x:c r="B144" s="14"/>
      <x:c r="C144" s="14"/>
      <x:c r="D144" s="14"/>
      <x:c r="E144" s="14"/>
      <x:c r="F144" s="14"/>
      <x:c r="G144" s="25"/>
      <x:c r="H144" s="25"/>
      <x:c r="I144" s="25"/>
      <x:c r="J144" s="14"/>
      <x:c r="K144" s="14"/>
      <x:c r="L144" s="14"/>
      <x:c r="M144" s="14"/>
    </x:row>
    <x:row r="145">
      <x:c r="A145" s="14"/>
      <x:c r="B145" s="14"/>
      <x:c r="C145" s="14"/>
      <x:c r="D145" s="14"/>
      <x:c r="E145" s="14"/>
      <x:c r="F145" s="14"/>
      <x:c r="G145" s="25"/>
      <x:c r="H145" s="25"/>
      <x:c r="I145" s="25"/>
      <x:c r="J145" s="14"/>
      <x:c r="K145" s="14"/>
      <x:c r="L145" s="14"/>
      <x:c r="M145" s="14"/>
    </x:row>
    <x:row r="146">
      <x:c r="A146" s="14"/>
      <x:c r="B146" s="14"/>
      <x:c r="C146" s="14"/>
      <x:c r="D146" s="14"/>
      <x:c r="E146" s="14"/>
      <x:c r="F146" s="14"/>
      <x:c r="G146" s="25"/>
      <x:c r="H146" s="25"/>
      <x:c r="I146" s="25"/>
      <x:c r="J146" s="14"/>
      <x:c r="K146" s="14"/>
      <x:c r="L146" s="14"/>
      <x:c r="M146" s="14"/>
    </x:row>
    <x:row r="147">
      <x:c r="A147" s="14"/>
      <x:c r="B147" s="14"/>
      <x:c r="C147" s="14"/>
      <x:c r="D147" s="14"/>
      <x:c r="E147" s="14"/>
      <x:c r="F147" s="14"/>
      <x:c r="G147" s="25"/>
      <x:c r="H147" s="25"/>
      <x:c r="I147" s="25"/>
      <x:c r="J147" s="14"/>
      <x:c r="K147" s="14"/>
      <x:c r="L147" s="14"/>
      <x:c r="M147" s="14"/>
    </x:row>
    <x:row r="148">
      <x:c r="A148" s="14"/>
      <x:c r="B148" s="14"/>
      <x:c r="C148" s="14"/>
      <x:c r="D148" s="14"/>
      <x:c r="E148" s="14"/>
      <x:c r="F148" s="14"/>
      <x:c r="G148" s="25"/>
      <x:c r="H148" s="25"/>
      <x:c r="I148" s="25"/>
      <x:c r="J148" s="14"/>
      <x:c r="K148" s="14"/>
      <x:c r="L148" s="14"/>
      <x:c r="M148" s="14"/>
    </x:row>
    <x:row r="149">
      <x:c r="A149" s="14"/>
      <x:c r="B149" s="14"/>
      <x:c r="C149" s="14"/>
      <x:c r="D149" s="14"/>
      <x:c r="E149" s="14"/>
      <x:c r="F149" s="14"/>
      <x:c r="G149" s="25"/>
      <x:c r="H149" s="25"/>
      <x:c r="I149" s="25"/>
      <x:c r="J149" s="14"/>
      <x:c r="K149" s="14"/>
      <x:c r="L149" s="14"/>
      <x:c r="M149" s="14"/>
    </x:row>
    <x:row r="150">
      <x:c r="A150" s="14"/>
      <x:c r="B150" s="14"/>
      <x:c r="C150" s="14"/>
      <x:c r="D150" s="14"/>
      <x:c r="E150" s="14"/>
      <x:c r="F150" s="14"/>
      <x:c r="G150" s="25"/>
      <x:c r="H150" s="25"/>
      <x:c r="I150" s="25"/>
      <x:c r="J150" s="14"/>
      <x:c r="K150" s="14"/>
      <x:c r="L150" s="14"/>
      <x:c r="M150" s="14"/>
    </x:row>
    <x:row r="151">
      <x:c r="A151" s="14"/>
      <x:c r="B151" s="14"/>
      <x:c r="C151" s="14"/>
      <x:c r="D151" s="14"/>
      <x:c r="E151" s="14"/>
      <x:c r="F151" s="14"/>
      <x:c r="G151" s="25"/>
      <x:c r="H151" s="25"/>
      <x:c r="I151" s="25"/>
      <x:c r="J151" s="14"/>
      <x:c r="K151" s="14"/>
      <x:c r="L151" s="14"/>
      <x:c r="M151" s="14"/>
    </x:row>
    <x:row r="152">
      <x:c r="A152" s="14"/>
      <x:c r="B152" s="14"/>
      <x:c r="C152" s="14"/>
      <x:c r="D152" s="14"/>
      <x:c r="E152" s="14"/>
      <x:c r="F152" s="14"/>
      <x:c r="G152" s="25"/>
      <x:c r="H152" s="25"/>
      <x:c r="I152" s="25"/>
      <x:c r="J152" s="14"/>
      <x:c r="K152" s="14"/>
      <x:c r="L152" s="14"/>
      <x:c r="M152" s="14"/>
    </x:row>
    <x:row r="153">
      <x:c r="A153" s="14"/>
      <x:c r="B153" s="14"/>
      <x:c r="C153" s="14"/>
      <x:c r="D153" s="14"/>
      <x:c r="E153" s="14"/>
      <x:c r="F153" s="14"/>
      <x:c r="G153" s="25"/>
      <x:c r="H153" s="25"/>
      <x:c r="I153" s="25"/>
      <x:c r="J153" s="14"/>
      <x:c r="K153" s="14"/>
      <x:c r="L153" s="14"/>
      <x:c r="M153" s="14"/>
    </x:row>
    <x:row r="154">
      <x:c r="A154" s="14"/>
      <x:c r="B154" s="14"/>
      <x:c r="C154" s="14"/>
      <x:c r="D154" s="14"/>
      <x:c r="E154" s="14"/>
      <x:c r="F154" s="14"/>
      <x:c r="G154" s="25"/>
      <x:c r="H154" s="25"/>
      <x:c r="I154" s="25"/>
      <x:c r="J154" s="14"/>
      <x:c r="K154" s="14"/>
      <x:c r="L154" s="14"/>
      <x:c r="M154" s="14"/>
    </x:row>
    <x:row r="155">
      <x:c r="A155" s="14"/>
      <x:c r="B155" s="14"/>
      <x:c r="C155" s="14"/>
      <x:c r="D155" s="14"/>
      <x:c r="E155" s="14"/>
      <x:c r="F155" s="14"/>
      <x:c r="G155" s="25"/>
      <x:c r="H155" s="25"/>
      <x:c r="I155" s="25"/>
      <x:c r="J155" s="14"/>
      <x:c r="K155" s="14"/>
      <x:c r="L155" s="14"/>
      <x:c r="M155" s="14"/>
    </x:row>
    <x:row r="156">
      <x:c r="A156" s="14"/>
      <x:c r="B156" s="14"/>
      <x:c r="C156" s="14"/>
      <x:c r="D156" s="14"/>
      <x:c r="E156" s="14"/>
      <x:c r="F156" s="14"/>
      <x:c r="G156" s="25"/>
      <x:c r="H156" s="25"/>
      <x:c r="I156" s="25"/>
      <x:c r="J156" s="14"/>
      <x:c r="K156" s="14"/>
      <x:c r="L156" s="14"/>
      <x:c r="M156" s="14"/>
    </x:row>
    <x:row r="157">
      <x:c r="A157" s="14"/>
      <x:c r="B157" s="14"/>
      <x:c r="C157" s="14"/>
      <x:c r="D157" s="14"/>
      <x:c r="E157" s="14"/>
      <x:c r="F157" s="14"/>
      <x:c r="G157" s="25"/>
      <x:c r="H157" s="25"/>
      <x:c r="I157" s="25"/>
      <x:c r="J157" s="14"/>
      <x:c r="K157" s="14"/>
      <x:c r="L157" s="14"/>
      <x:c r="M157" s="14"/>
    </x:row>
    <x:row r="158">
      <x:c r="A158" s="14"/>
      <x:c r="B158" s="14"/>
      <x:c r="C158" s="14"/>
      <x:c r="D158" s="14"/>
      <x:c r="E158" s="14"/>
      <x:c r="F158" s="14"/>
      <x:c r="G158" s="25"/>
      <x:c r="H158" s="25"/>
      <x:c r="I158" s="25"/>
      <x:c r="J158" s="14"/>
      <x:c r="K158" s="14"/>
      <x:c r="L158" s="14"/>
      <x:c r="M158" s="14"/>
    </x:row>
    <x:row r="159">
      <x:c r="A159" s="14"/>
      <x:c r="B159" s="14"/>
      <x:c r="C159" s="14"/>
      <x:c r="D159" s="14"/>
      <x:c r="E159" s="14"/>
      <x:c r="F159" s="14"/>
      <x:c r="G159" s="25"/>
      <x:c r="H159" s="25"/>
      <x:c r="I159" s="25"/>
      <x:c r="J159" s="14"/>
      <x:c r="K159" s="14"/>
      <x:c r="L159" s="14"/>
      <x:c r="M159" s="14"/>
    </x:row>
    <x:row r="160">
      <x:c r="A160" s="14"/>
      <x:c r="B160" s="14"/>
      <x:c r="C160" s="14"/>
      <x:c r="D160" s="14"/>
      <x:c r="E160" s="14"/>
      <x:c r="F160" s="14"/>
      <x:c r="G160" s="25"/>
      <x:c r="H160" s="25"/>
      <x:c r="I160" s="25"/>
      <x:c r="J160" s="14"/>
      <x:c r="K160" s="14"/>
      <x:c r="L160" s="14"/>
      <x:c r="M160" s="14"/>
    </x:row>
    <x:row r="161">
      <x:c r="A161" s="14"/>
      <x:c r="B161" s="14"/>
      <x:c r="C161" s="14"/>
      <x:c r="D161" s="14"/>
      <x:c r="E161" s="14"/>
      <x:c r="F161" s="14"/>
      <x:c r="G161" s="25"/>
      <x:c r="H161" s="25"/>
      <x:c r="I161" s="25"/>
      <x:c r="J161" s="14"/>
      <x:c r="K161" s="14"/>
      <x:c r="L161" s="14"/>
      <x:c r="M161" s="14"/>
    </x:row>
    <x:row r="162">
      <x:c r="A162" s="14"/>
      <x:c r="B162" s="14"/>
      <x:c r="C162" s="14"/>
      <x:c r="D162" s="14"/>
      <x:c r="E162" s="14"/>
      <x:c r="F162" s="14"/>
      <x:c r="G162" s="25"/>
      <x:c r="H162" s="25"/>
      <x:c r="I162" s="25"/>
      <x:c r="J162" s="14"/>
      <x:c r="K162" s="14"/>
      <x:c r="L162" s="14"/>
      <x:c r="M162" s="14"/>
    </x:row>
    <x:row r="163">
      <x:c r="A163" s="14"/>
      <x:c r="B163" s="14"/>
      <x:c r="C163" s="14"/>
      <x:c r="D163" s="14"/>
      <x:c r="E163" s="14"/>
      <x:c r="F163" s="14"/>
      <x:c r="G163" s="25"/>
      <x:c r="H163" s="25"/>
      <x:c r="I163" s="25"/>
      <x:c r="J163" s="14"/>
      <x:c r="K163" s="14"/>
      <x:c r="L163" s="14"/>
      <x:c r="M163" s="14"/>
    </x:row>
    <x:row r="164">
      <x:c r="A164" s="14"/>
      <x:c r="B164" s="14"/>
      <x:c r="C164" s="14"/>
      <x:c r="D164" s="14"/>
      <x:c r="E164" s="14"/>
      <x:c r="F164" s="14"/>
      <x:c r="G164" s="25"/>
      <x:c r="H164" s="25"/>
      <x:c r="I164" s="25"/>
      <x:c r="J164" s="14"/>
      <x:c r="K164" s="14"/>
      <x:c r="L164" s="14"/>
      <x:c r="M164" s="14"/>
    </x:row>
    <x:row r="165">
      <x:c r="A165" s="14"/>
      <x:c r="B165" s="14"/>
      <x:c r="C165" s="14"/>
      <x:c r="D165" s="14"/>
      <x:c r="E165" s="14"/>
      <x:c r="F165" s="14"/>
      <x:c r="G165" s="25"/>
      <x:c r="H165" s="25"/>
      <x:c r="I165" s="25"/>
      <x:c r="J165" s="14"/>
      <x:c r="K165" s="14"/>
      <x:c r="L165" s="14"/>
      <x:c r="M165" s="14"/>
    </x:row>
    <x:row r="166">
      <x:c r="A166" s="14"/>
      <x:c r="B166" s="14"/>
      <x:c r="C166" s="14"/>
      <x:c r="D166" s="14"/>
      <x:c r="E166" s="14"/>
      <x:c r="F166" s="14"/>
      <x:c r="G166" s="25"/>
      <x:c r="H166" s="25"/>
      <x:c r="I166" s="25"/>
      <x:c r="J166" s="14"/>
      <x:c r="K166" s="14"/>
      <x:c r="L166" s="14"/>
      <x:c r="M166" s="14"/>
    </x:row>
    <x:row r="167">
      <x:c r="A167" s="14"/>
      <x:c r="B167" s="14"/>
      <x:c r="C167" s="14"/>
      <x:c r="D167" s="14"/>
      <x:c r="E167" s="14"/>
      <x:c r="F167" s="14"/>
      <x:c r="G167" s="25"/>
      <x:c r="H167" s="25"/>
      <x:c r="I167" s="25"/>
      <x:c r="J167" s="14"/>
      <x:c r="K167" s="14"/>
      <x:c r="L167" s="14"/>
      <x:c r="M167" s="14"/>
    </x:row>
    <x:row r="168">
      <x:c r="A168" s="14"/>
      <x:c r="B168" s="14"/>
      <x:c r="C168" s="14"/>
      <x:c r="D168" s="14"/>
      <x:c r="E168" s="14"/>
      <x:c r="F168" s="14"/>
      <x:c r="G168" s="25"/>
      <x:c r="H168" s="25"/>
      <x:c r="I168" s="25"/>
      <x:c r="J168" s="14"/>
      <x:c r="K168" s="14"/>
      <x:c r="L168" s="14"/>
      <x:c r="M168" s="14"/>
    </x:row>
    <x:row r="169">
      <x:c r="A169" s="14"/>
      <x:c r="B169" s="14"/>
      <x:c r="C169" s="14"/>
      <x:c r="D169" s="14"/>
      <x:c r="E169" s="14"/>
      <x:c r="F169" s="14"/>
      <x:c r="G169" s="25"/>
      <x:c r="H169" s="25"/>
      <x:c r="I169" s="25"/>
      <x:c r="J169" s="14"/>
      <x:c r="K169" s="14"/>
      <x:c r="L169" s="14"/>
      <x:c r="M169" s="14"/>
    </x:row>
    <x:row r="170">
      <x:c r="A170" s="14"/>
      <x:c r="B170" s="14"/>
      <x:c r="C170" s="14"/>
      <x:c r="D170" s="14"/>
      <x:c r="E170" s="14"/>
      <x:c r="F170" s="14"/>
      <x:c r="G170" s="25"/>
      <x:c r="H170" s="25"/>
      <x:c r="I170" s="25"/>
      <x:c r="J170" s="14"/>
      <x:c r="K170" s="14"/>
      <x:c r="L170" s="14"/>
      <x:c r="M170" s="14"/>
    </x:row>
    <x:row r="171">
      <x:c r="A171" s="14"/>
      <x:c r="B171" s="14"/>
      <x:c r="C171" s="14"/>
      <x:c r="D171" s="14"/>
      <x:c r="E171" s="14"/>
      <x:c r="F171" s="14"/>
      <x:c r="G171" s="25"/>
      <x:c r="H171" s="25"/>
      <x:c r="I171" s="25"/>
      <x:c r="J171" s="14"/>
      <x:c r="K171" s="14"/>
      <x:c r="L171" s="14"/>
      <x:c r="M171" s="14"/>
    </x:row>
    <x:row r="172">
      <x:c r="A172" s="14"/>
      <x:c r="B172" s="14"/>
      <x:c r="C172" s="14"/>
      <x:c r="D172" s="14"/>
      <x:c r="E172" s="14"/>
      <x:c r="F172" s="14"/>
      <x:c r="G172" s="25"/>
      <x:c r="H172" s="25"/>
      <x:c r="I172" s="25"/>
      <x:c r="J172" s="14"/>
      <x:c r="K172" s="14"/>
      <x:c r="L172" s="14"/>
      <x:c r="M172" s="14"/>
    </x:row>
    <x:row r="173">
      <x:c r="A173" s="14"/>
      <x:c r="B173" s="14"/>
      <x:c r="C173" s="14"/>
      <x:c r="D173" s="14"/>
      <x:c r="E173" s="14"/>
      <x:c r="F173" s="14"/>
      <x:c r="G173" s="25"/>
      <x:c r="H173" s="25"/>
      <x:c r="I173" s="25"/>
      <x:c r="J173" s="14"/>
      <x:c r="K173" s="14"/>
      <x:c r="L173" s="14"/>
      <x:c r="M173" s="14"/>
    </x:row>
    <x:row r="174">
      <x:c r="A174" s="14"/>
      <x:c r="B174" s="14"/>
      <x:c r="C174" s="14"/>
      <x:c r="D174" s="14"/>
      <x:c r="E174" s="14"/>
      <x:c r="F174" s="14"/>
      <x:c r="G174" s="25"/>
      <x:c r="H174" s="25"/>
      <x:c r="I174" s="25"/>
      <x:c r="J174" s="14"/>
      <x:c r="K174" s="14"/>
      <x:c r="L174" s="14"/>
      <x:c r="M174" s="14"/>
    </x:row>
    <x:row r="175">
      <x:c r="A175" s="14"/>
      <x:c r="B175" s="14"/>
      <x:c r="C175" s="14"/>
      <x:c r="D175" s="14"/>
      <x:c r="E175" s="14"/>
      <x:c r="F175" s="14"/>
      <x:c r="G175" s="25"/>
      <x:c r="H175" s="25"/>
      <x:c r="I175" s="25"/>
      <x:c r="J175" s="14"/>
      <x:c r="K175" s="14"/>
      <x:c r="L175" s="14"/>
      <x:c r="M175" s="14"/>
    </x:row>
    <x:row r="176">
      <x:c r="A176" s="14"/>
      <x:c r="B176" s="14"/>
      <x:c r="C176" s="14"/>
      <x:c r="D176" s="14"/>
      <x:c r="E176" s="14"/>
      <x:c r="F176" s="14"/>
      <x:c r="G176" s="25"/>
      <x:c r="H176" s="25"/>
      <x:c r="I176" s="25"/>
      <x:c r="J176" s="14"/>
      <x:c r="K176" s="14"/>
      <x:c r="L176" s="14"/>
      <x:c r="M176" s="14"/>
    </x:row>
    <x:row r="177">
      <x:c r="A177" s="14"/>
      <x:c r="B177" s="14"/>
      <x:c r="C177" s="14"/>
      <x:c r="D177" s="14"/>
      <x:c r="E177" s="14"/>
      <x:c r="F177" s="14"/>
      <x:c r="G177" s="25"/>
      <x:c r="H177" s="25"/>
      <x:c r="I177" s="25"/>
      <x:c r="J177" s="14"/>
      <x:c r="K177" s="14"/>
      <x:c r="L177" s="14"/>
      <x:c r="M177" s="14"/>
    </x:row>
    <x:row r="178">
      <x:c r="A178" s="14"/>
      <x:c r="B178" s="14"/>
      <x:c r="C178" s="14"/>
      <x:c r="D178" s="14"/>
      <x:c r="E178" s="14"/>
      <x:c r="F178" s="14"/>
      <x:c r="G178" s="25"/>
      <x:c r="H178" s="25"/>
      <x:c r="I178" s="25"/>
      <x:c r="J178" s="14"/>
      <x:c r="K178" s="14"/>
      <x:c r="L178" s="14"/>
      <x:c r="M178" s="14"/>
    </x:row>
    <x:row r="179">
      <x:c r="A179" s="14"/>
      <x:c r="B179" s="14"/>
      <x:c r="C179" s="14"/>
      <x:c r="D179" s="14"/>
      <x:c r="E179" s="14"/>
      <x:c r="F179" s="14"/>
      <x:c r="G179" s="25"/>
      <x:c r="H179" s="25"/>
      <x:c r="I179" s="25"/>
      <x:c r="J179" s="14"/>
      <x:c r="K179" s="14"/>
      <x:c r="L179" s="14"/>
      <x:c r="M179" s="14"/>
    </x:row>
    <x:row r="180">
      <x:c r="A180" s="14"/>
      <x:c r="B180" s="14"/>
      <x:c r="C180" s="14"/>
      <x:c r="D180" s="14"/>
      <x:c r="E180" s="14"/>
      <x:c r="F180" s="14"/>
      <x:c r="G180" s="25"/>
      <x:c r="H180" s="25"/>
      <x:c r="I180" s="25"/>
      <x:c r="J180" s="14"/>
      <x:c r="K180" s="14"/>
      <x:c r="L180" s="14"/>
      <x:c r="M180" s="14"/>
    </x:row>
    <x:row r="181">
      <x:c r="A181" s="14"/>
      <x:c r="B181" s="14"/>
      <x:c r="C181" s="14"/>
      <x:c r="D181" s="14"/>
      <x:c r="E181" s="14"/>
      <x:c r="F181" s="14"/>
      <x:c r="G181" s="25"/>
      <x:c r="H181" s="25"/>
      <x:c r="I181" s="25"/>
      <x:c r="J181" s="14"/>
      <x:c r="K181" s="14"/>
      <x:c r="L181" s="14"/>
      <x:c r="M181" s="14"/>
    </x:row>
    <x:row r="182">
      <x:c r="A182" s="14"/>
      <x:c r="B182" s="14"/>
      <x:c r="C182" s="14"/>
      <x:c r="D182" s="14"/>
      <x:c r="E182" s="14"/>
      <x:c r="F182" s="14"/>
      <x:c r="G182" s="25"/>
      <x:c r="H182" s="25"/>
      <x:c r="I182" s="25"/>
      <x:c r="J182" s="14"/>
      <x:c r="K182" s="14"/>
      <x:c r="L182" s="14"/>
      <x:c r="M182" s="14"/>
    </x:row>
    <x:row r="183">
      <x:c r="A183" s="14"/>
      <x:c r="B183" s="14"/>
      <x:c r="C183" s="14"/>
      <x:c r="D183" s="14"/>
      <x:c r="E183" s="14"/>
      <x:c r="F183" s="14"/>
      <x:c r="G183" s="25"/>
      <x:c r="H183" s="25"/>
      <x:c r="I183" s="25"/>
      <x:c r="J183" s="14"/>
      <x:c r="K183" s="14"/>
      <x:c r="L183" s="14"/>
      <x:c r="M183" s="14"/>
    </x:row>
    <x:row r="184">
      <x:c r="A184" s="14"/>
      <x:c r="B184" s="14"/>
      <x:c r="C184" s="14"/>
      <x:c r="D184" s="14"/>
      <x:c r="E184" s="14"/>
      <x:c r="F184" s="14"/>
      <x:c r="G184" s="25"/>
      <x:c r="H184" s="25"/>
      <x:c r="I184" s="25"/>
      <x:c r="J184" s="14"/>
      <x:c r="K184" s="14"/>
      <x:c r="L184" s="14"/>
      <x:c r="M184" s="14"/>
    </x:row>
    <x:row r="185">
      <x:c r="A185" s="14"/>
      <x:c r="B185" s="14"/>
      <x:c r="C185" s="14"/>
      <x:c r="D185" s="14"/>
      <x:c r="E185" s="14"/>
      <x:c r="F185" s="14"/>
      <x:c r="G185" s="25"/>
      <x:c r="H185" s="25"/>
      <x:c r="I185" s="25"/>
      <x:c r="J185" s="14"/>
      <x:c r="K185" s="14"/>
      <x:c r="L185" s="14"/>
      <x:c r="M185" s="14"/>
    </x:row>
    <x:row r="186">
      <x:c r="A186" s="14"/>
      <x:c r="B186" s="14"/>
      <x:c r="C186" s="14"/>
      <x:c r="D186" s="14"/>
      <x:c r="E186" s="14"/>
      <x:c r="F186" s="14"/>
      <x:c r="G186" s="25"/>
      <x:c r="H186" s="25"/>
      <x:c r="I186" s="25"/>
      <x:c r="J186" s="14"/>
      <x:c r="K186" s="14"/>
      <x:c r="L186" s="14"/>
      <x:c r="M186" s="14"/>
    </x:row>
    <x:row r="187">
      <x:c r="A187" s="14"/>
      <x:c r="B187" s="14"/>
      <x:c r="C187" s="14"/>
      <x:c r="D187" s="14"/>
      <x:c r="E187" s="14"/>
      <x:c r="F187" s="14"/>
      <x:c r="G187" s="25"/>
      <x:c r="H187" s="25"/>
      <x:c r="I187" s="25"/>
      <x:c r="J187" s="14"/>
      <x:c r="K187" s="14"/>
      <x:c r="L187" s="14"/>
      <x:c r="M187" s="14"/>
    </x:row>
    <x:row r="188">
      <x:c r="A188" s="14"/>
      <x:c r="B188" s="14"/>
      <x:c r="C188" s="14"/>
      <x:c r="D188" s="14"/>
      <x:c r="E188" s="14"/>
      <x:c r="F188" s="14"/>
      <x:c r="G188" s="25"/>
      <x:c r="H188" s="25"/>
      <x:c r="I188" s="25"/>
      <x:c r="J188" s="14"/>
      <x:c r="K188" s="14"/>
      <x:c r="L188" s="14"/>
      <x:c r="M188" s="14"/>
    </x:row>
    <x:row r="189">
      <x:c r="A189" s="14"/>
      <x:c r="B189" s="14"/>
      <x:c r="C189" s="14"/>
      <x:c r="D189" s="14"/>
      <x:c r="E189" s="14"/>
      <x:c r="F189" s="14"/>
      <x:c r="G189" s="25"/>
      <x:c r="H189" s="25"/>
      <x:c r="I189" s="25"/>
      <x:c r="J189" s="14"/>
      <x:c r="K189" s="14"/>
      <x:c r="L189" s="14"/>
      <x:c r="M189" s="14"/>
    </x:row>
    <x:row r="190">
      <x:c r="A190" s="14"/>
      <x:c r="B190" s="14"/>
      <x:c r="C190" s="14"/>
      <x:c r="D190" s="14"/>
      <x:c r="E190" s="14"/>
      <x:c r="F190" s="14"/>
      <x:c r="G190" s="25"/>
      <x:c r="H190" s="25"/>
      <x:c r="I190" s="25"/>
      <x:c r="J190" s="14"/>
      <x:c r="K190" s="14"/>
      <x:c r="L190" s="14"/>
      <x:c r="M190" s="14"/>
    </x:row>
    <x:row r="191">
      <x:c r="A191" s="14"/>
      <x:c r="B191" s="14"/>
      <x:c r="C191" s="14"/>
      <x:c r="D191" s="14"/>
      <x:c r="E191" s="14"/>
      <x:c r="F191" s="14"/>
      <x:c r="G191" s="25"/>
      <x:c r="H191" s="25"/>
      <x:c r="I191" s="25"/>
      <x:c r="J191" s="14"/>
      <x:c r="K191" s="14"/>
      <x:c r="L191" s="14"/>
      <x:c r="M191" s="14"/>
    </x:row>
    <x:row r="192">
      <x:c r="A192" s="14"/>
      <x:c r="B192" s="14"/>
      <x:c r="C192" s="14"/>
      <x:c r="D192" s="14"/>
      <x:c r="E192" s="14"/>
      <x:c r="F192" s="14"/>
      <x:c r="G192" s="25"/>
      <x:c r="H192" s="25"/>
      <x:c r="I192" s="25"/>
      <x:c r="J192" s="14"/>
      <x:c r="K192" s="14"/>
      <x:c r="L192" s="14"/>
      <x:c r="M192" s="14"/>
    </x:row>
    <x:row r="193">
      <x:c r="A193" s="14"/>
      <x:c r="B193" s="14"/>
      <x:c r="C193" s="14"/>
      <x:c r="D193" s="14"/>
      <x:c r="E193" s="14"/>
      <x:c r="F193" s="14"/>
      <x:c r="G193" s="25"/>
      <x:c r="H193" s="25"/>
      <x:c r="I193" s="25"/>
      <x:c r="J193" s="14"/>
      <x:c r="K193" s="14"/>
      <x:c r="L193" s="14"/>
      <x:c r="M193" s="14"/>
    </x:row>
    <x:row r="194">
      <x:c r="A194" s="14"/>
      <x:c r="B194" s="14"/>
      <x:c r="C194" s="14"/>
      <x:c r="D194" s="14"/>
      <x:c r="E194" s="14"/>
      <x:c r="F194" s="14"/>
      <x:c r="G194" s="25"/>
      <x:c r="H194" s="25"/>
      <x:c r="I194" s="25"/>
      <x:c r="J194" s="14"/>
      <x:c r="K194" s="14"/>
      <x:c r="L194" s="14"/>
      <x:c r="M194" s="14"/>
    </x:row>
    <x:row r="195">
      <x:c r="A195" s="14"/>
      <x:c r="B195" s="14"/>
      <x:c r="C195" s="14"/>
      <x:c r="D195" s="14"/>
      <x:c r="E195" s="14"/>
      <x:c r="F195" s="14"/>
      <x:c r="G195" s="25"/>
      <x:c r="H195" s="25"/>
      <x:c r="I195" s="25"/>
      <x:c r="J195" s="14"/>
      <x:c r="K195" s="14"/>
      <x:c r="L195" s="14"/>
      <x:c r="M195" s="14"/>
    </x:row>
    <x:row r="196">
      <x:c r="A196" s="14"/>
      <x:c r="B196" s="14"/>
      <x:c r="C196" s="14"/>
      <x:c r="D196" s="14"/>
      <x:c r="E196" s="14"/>
      <x:c r="F196" s="14"/>
      <x:c r="G196" s="25"/>
      <x:c r="H196" s="25"/>
      <x:c r="I196" s="25"/>
      <x:c r="J196" s="14"/>
      <x:c r="K196" s="14"/>
      <x:c r="L196" s="14"/>
      <x:c r="M196" s="14"/>
    </x:row>
    <x:row r="197">
      <x:c r="A197" s="14"/>
      <x:c r="B197" s="14"/>
      <x:c r="C197" s="14"/>
      <x:c r="D197" s="14"/>
      <x:c r="E197" s="14"/>
      <x:c r="F197" s="14"/>
      <x:c r="G197" s="25"/>
      <x:c r="H197" s="25"/>
      <x:c r="I197" s="25"/>
      <x:c r="J197" s="14"/>
      <x:c r="K197" s="14"/>
      <x:c r="L197" s="14"/>
      <x:c r="M197" s="14"/>
    </x:row>
    <x:row r="198">
      <x:c r="A198" s="14"/>
      <x:c r="B198" s="14"/>
      <x:c r="C198" s="14"/>
      <x:c r="D198" s="14"/>
      <x:c r="E198" s="14"/>
      <x:c r="F198" s="14"/>
      <x:c r="G198" s="25"/>
      <x:c r="H198" s="25"/>
      <x:c r="I198" s="25"/>
      <x:c r="J198" s="14"/>
      <x:c r="K198" s="14"/>
      <x:c r="L198" s="14"/>
      <x:c r="M198" s="14"/>
    </x:row>
    <x:row r="199">
      <x:c r="A199" s="14"/>
      <x:c r="B199" s="14"/>
      <x:c r="C199" s="14"/>
      <x:c r="D199" s="14"/>
      <x:c r="E199" s="14"/>
      <x:c r="F199" s="14"/>
      <x:c r="G199" s="25"/>
      <x:c r="H199" s="25"/>
      <x:c r="I199" s="25"/>
      <x:c r="J199" s="14"/>
      <x:c r="K199" s="14"/>
      <x:c r="L199" s="14"/>
      <x:c r="M199" s="14"/>
    </x:row>
    <x:row r="200">
      <x:c r="A200" s="14"/>
      <x:c r="B200" s="14"/>
      <x:c r="C200" s="14"/>
      <x:c r="D200" s="14"/>
      <x:c r="E200" s="14"/>
      <x:c r="F200" s="14"/>
      <x:c r="G200" s="25"/>
      <x:c r="H200" s="25"/>
      <x:c r="I200" s="25"/>
      <x:c r="J200" s="14"/>
      <x:c r="K200" s="14"/>
      <x:c r="L200" s="14"/>
      <x:c r="M200" s="14"/>
    </x:row>
    <x:row r="201">
      <x:c r="A201" s="14"/>
      <x:c r="B201" s="14"/>
      <x:c r="C201" s="14"/>
      <x:c r="D201" s="14"/>
      <x:c r="E201" s="14"/>
      <x:c r="F201" s="14"/>
      <x:c r="G201" s="25"/>
      <x:c r="H201" s="25"/>
      <x:c r="I201" s="25"/>
      <x:c r="J201" s="14"/>
      <x:c r="K201" s="14"/>
      <x:c r="L201" s="14"/>
      <x:c r="M201" s="14"/>
    </x:row>
    <x:row r="202">
      <x:c r="A202" s="14"/>
      <x:c r="B202" s="14"/>
      <x:c r="C202" s="14"/>
      <x:c r="D202" s="14"/>
      <x:c r="E202" s="14"/>
      <x:c r="F202" s="14"/>
      <x:c r="G202" s="25"/>
      <x:c r="H202" s="25"/>
      <x:c r="I202" s="25"/>
      <x:c r="J202" s="14"/>
      <x:c r="K202" s="14"/>
      <x:c r="L202" s="14"/>
      <x:c r="M202" s="14"/>
    </x:row>
    <x:row r="203">
      <x:c r="A203" s="14"/>
      <x:c r="B203" s="14"/>
      <x:c r="C203" s="14"/>
      <x:c r="D203" s="14"/>
      <x:c r="E203" s="14"/>
      <x:c r="F203" s="14"/>
      <x:c r="G203" s="25"/>
      <x:c r="H203" s="25"/>
      <x:c r="I203" s="25"/>
      <x:c r="J203" s="14"/>
      <x:c r="K203" s="14"/>
      <x:c r="L203" s="14"/>
      <x:c r="M203" s="14"/>
    </x:row>
    <x:row r="204">
      <x:c r="A204" s="14"/>
      <x:c r="B204" s="14"/>
      <x:c r="C204" s="14"/>
      <x:c r="D204" s="14"/>
      <x:c r="E204" s="14"/>
      <x:c r="F204" s="14"/>
      <x:c r="G204" s="25"/>
      <x:c r="H204" s="25"/>
      <x:c r="I204" s="25"/>
      <x:c r="J204" s="14"/>
      <x:c r="K204" s="14"/>
      <x:c r="L204" s="14"/>
      <x:c r="M204" s="14"/>
    </x:row>
    <x:row r="205">
      <x:c r="A205" s="15"/>
      <x:c r="B205" s="15"/>
      <x:c r="C205" s="15"/>
      <x:c r="D205" s="15"/>
      <x:c r="E205" s="15"/>
      <x:c r="F205" s="15"/>
      <x:c r="G205" s="26"/>
      <x:c r="H205" s="26"/>
      <x:c r="I205" s="26"/>
      <x:c r="J205" s="15"/>
      <x:c r="K205" s="15"/>
      <x:c r="L205" s="15"/>
      <x:c r="M205" s="15"/>
    </x:row>
  </x:sheetData>
  <x:mergeCells>
    <x:mergeCell ref="A1:M1"/>
    <x:mergeCell ref="A2:M2"/>
  </x:mergeCells>
  <x:dataValidations count="2">
    <x:dataValidation type="list" sqref="E5:E205">
      <x:formula1>"Yes,No,Confirm"</x:formula1>
    </x:dataValidation>
    <x:dataValidation type="list" sqref="F5:F205">
      <x:formula1>"Not Requested,Requested,Received,Reviewed,Not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459509048ee4c2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4" hidden="0" customWidth="1"/>
    <x:col min="3" max="3" width="16" hidden="0" customWidth="1"/>
    <x:col min="4" max="4" width="14" hidden="0" customWidth="1"/>
    <x:col min="5" max="5" width="15" hidden="0" customWidth="1"/>
    <x:col min="6" max="6" width="14" hidden="0" customWidth="1"/>
    <x:col min="7" max="7" width="14" hidden="0" customWidth="1"/>
    <x:col min="8" max="8" width="14" hidden="0" customWidth="1"/>
    <x:col min="9" max="9" width="11" hidden="0" customWidth="1"/>
    <x:col min="10" max="10" width="15" hidden="0" customWidth="1"/>
  </x:cols>
  <x:sheetData>
    <x:row r="1" ht="34" customHeight="1">
      <x:c r="A1" s="2" t="str">
        <x:v>Capacity Planner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5" customHeight="1">
      <x:c r="A2" s="4" t="str">
        <x:v>Estimate monthly workload and identify when to reprice, automate, or hire.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4">
      <x:c r="A4" s="8" t="str">
        <x:v>Client</x:v>
      </x:c>
      <x:c r="B4" s="8" t="str">
        <x:v>Monthly Fee</x:v>
      </x:c>
      <x:c r="C4" s="8" t="str">
        <x:v>Estimated Hours</x:v>
      </x:c>
      <x:c r="D4" s="8" t="str">
        <x:v>Actual Hours</x:v>
      </x:c>
      <x:c r="E4" s="8" t="str">
        <x:v>Effective Rate</x:v>
      </x:c>
      <x:c r="F4" s="8" t="str">
        <x:v>Delivery Cost</x:v>
      </x:c>
      <x:c r="G4" s="8" t="str">
        <x:v>Gross Profit</x:v>
      </x:c>
      <x:c r="H4" s="8" t="str">
        <x:v>Gross Margin</x:v>
      </x:c>
      <x:c r="I4" s="8" t="str">
        <x:v>Close Day</x:v>
      </x:c>
      <x:c r="J4" s="8" t="str">
        <x:v>Owner</x:v>
      </x:c>
    </x:row>
    <x:row r="5">
      <x:c r="A5" s="13" t="str">
        <x:v>Harbor Design LLC</x:v>
      </x:c>
      <x:c r="B5" s="21" t="n">
        <x:v>850</x:v>
      </x:c>
      <x:c r="C5" s="13" t="n">
        <x:v>8</x:v>
      </x:c>
      <x:c r="D5" s="13" t="n">
        <x:v>7.5</x:v>
      </x:c>
      <x:c r="E5" s="21" t="n">
        <x:f>IF(D5=0,0,B5/D5)</x:f>
        <x:v>113.33333333333333</x:v>
      </x:c>
      <x:c r="F5" s="21" t="n">
        <x:f>D5*Setup!$B$8</x:f>
        <x:v>262.5</x:v>
      </x:c>
      <x:c r="G5" s="21" t="n">
        <x:f>B5-F5</x:f>
        <x:v>587.5</x:v>
      </x:c>
      <x:c r="H5" s="27" t="n">
        <x:f>IF(B5=0,0,G5/B5)</x:f>
        <x:v>0.6911764705882353</x:v>
      </x:c>
      <x:c r="I5" s="13" t="n">
        <x:v>15</x:v>
      </x:c>
      <x:c r="J5" s="13" t="str">
        <x:v>[OWNER]</x:v>
      </x:c>
    </x:row>
    <x:row r="6">
      <x:c r="A6" s="14"/>
      <x:c r="B6" s="22"/>
      <x:c r="C6" s="14"/>
      <x:c r="D6" s="14"/>
      <x:c r="E6" s="22" t="n">
        <x:f>IF(D6=0,0,B6/D6)</x:f>
        <x:v>0</x:v>
      </x:c>
      <x:c r="F6" s="22" t="n">
        <x:f>D6*Setup!$B$8</x:f>
        <x:v>0</x:v>
      </x:c>
      <x:c r="G6" s="22" t="n">
        <x:f>B6-F6</x:f>
        <x:v>0</x:v>
      </x:c>
      <x:c r="H6" s="28" t="n">
        <x:f>IF(B6=0,0,G6/B6)</x:f>
        <x:v>0</x:v>
      </x:c>
      <x:c r="I6" s="14"/>
      <x:c r="J6" s="14"/>
    </x:row>
    <x:row r="7">
      <x:c r="A7" s="14"/>
      <x:c r="B7" s="22"/>
      <x:c r="C7" s="14"/>
      <x:c r="D7" s="14"/>
      <x:c r="E7" s="22" t="n">
        <x:f>IF(D7=0,0,B7/D7)</x:f>
        <x:v>0</x:v>
      </x:c>
      <x:c r="F7" s="22" t="n">
        <x:f>D7*Setup!$B$8</x:f>
        <x:v>0</x:v>
      </x:c>
      <x:c r="G7" s="22" t="n">
        <x:f>B7-F7</x:f>
        <x:v>0</x:v>
      </x:c>
      <x:c r="H7" s="28" t="n">
        <x:f>IF(B7=0,0,G7/B7)</x:f>
        <x:v>0</x:v>
      </x:c>
      <x:c r="I7" s="14"/>
      <x:c r="J7" s="14"/>
    </x:row>
    <x:row r="8">
      <x:c r="A8" s="14"/>
      <x:c r="B8" s="22"/>
      <x:c r="C8" s="14"/>
      <x:c r="D8" s="14"/>
      <x:c r="E8" s="22" t="n">
        <x:f>IF(D8=0,0,B8/D8)</x:f>
        <x:v>0</x:v>
      </x:c>
      <x:c r="F8" s="22" t="n">
        <x:f>D8*Setup!$B$8</x:f>
        <x:v>0</x:v>
      </x:c>
      <x:c r="G8" s="22" t="n">
        <x:f>B8-F8</x:f>
        <x:v>0</x:v>
      </x:c>
      <x:c r="H8" s="28" t="n">
        <x:f>IF(B8=0,0,G8/B8)</x:f>
        <x:v>0</x:v>
      </x:c>
      <x:c r="I8" s="14"/>
      <x:c r="J8" s="14"/>
    </x:row>
    <x:row r="9">
      <x:c r="A9" s="14"/>
      <x:c r="B9" s="22"/>
      <x:c r="C9" s="14"/>
      <x:c r="D9" s="14"/>
      <x:c r="E9" s="22" t="n">
        <x:f>IF(D9=0,0,B9/D9)</x:f>
        <x:v>0</x:v>
      </x:c>
      <x:c r="F9" s="22" t="n">
        <x:f>D9*Setup!$B$8</x:f>
        <x:v>0</x:v>
      </x:c>
      <x:c r="G9" s="22" t="n">
        <x:f>B9-F9</x:f>
        <x:v>0</x:v>
      </x:c>
      <x:c r="H9" s="28" t="n">
        <x:f>IF(B9=0,0,G9/B9)</x:f>
        <x:v>0</x:v>
      </x:c>
      <x:c r="I9" s="14"/>
      <x:c r="J9" s="14"/>
    </x:row>
    <x:row r="10">
      <x:c r="A10" s="14"/>
      <x:c r="B10" s="22"/>
      <x:c r="C10" s="14"/>
      <x:c r="D10" s="14"/>
      <x:c r="E10" s="22" t="n">
        <x:f>IF(D10=0,0,B10/D10)</x:f>
        <x:v>0</x:v>
      </x:c>
      <x:c r="F10" s="22" t="n">
        <x:f>D10*Setup!$B$8</x:f>
        <x:v>0</x:v>
      </x:c>
      <x:c r="G10" s="22" t="n">
        <x:f>B10-F10</x:f>
        <x:v>0</x:v>
      </x:c>
      <x:c r="H10" s="28" t="n">
        <x:f>IF(B10=0,0,G10/B10)</x:f>
        <x:v>0</x:v>
      </x:c>
      <x:c r="I10" s="14"/>
      <x:c r="J10" s="14"/>
    </x:row>
    <x:row r="11">
      <x:c r="A11" s="14"/>
      <x:c r="B11" s="22"/>
      <x:c r="C11" s="14"/>
      <x:c r="D11" s="14"/>
      <x:c r="E11" s="22" t="n">
        <x:f>IF(D11=0,0,B11/D11)</x:f>
        <x:v>0</x:v>
      </x:c>
      <x:c r="F11" s="22" t="n">
        <x:f>D11*Setup!$B$8</x:f>
        <x:v>0</x:v>
      </x:c>
      <x:c r="G11" s="22" t="n">
        <x:f>B11-F11</x:f>
        <x:v>0</x:v>
      </x:c>
      <x:c r="H11" s="28" t="n">
        <x:f>IF(B11=0,0,G11/B11)</x:f>
        <x:v>0</x:v>
      </x:c>
      <x:c r="I11" s="14"/>
      <x:c r="J11" s="14"/>
    </x:row>
    <x:row r="12">
      <x:c r="A12" s="14"/>
      <x:c r="B12" s="22"/>
      <x:c r="C12" s="14"/>
      <x:c r="D12" s="14"/>
      <x:c r="E12" s="22" t="n">
        <x:f>IF(D12=0,0,B12/D12)</x:f>
        <x:v>0</x:v>
      </x:c>
      <x:c r="F12" s="22" t="n">
        <x:f>D12*Setup!$B$8</x:f>
        <x:v>0</x:v>
      </x:c>
      <x:c r="G12" s="22" t="n">
        <x:f>B12-F12</x:f>
        <x:v>0</x:v>
      </x:c>
      <x:c r="H12" s="28" t="n">
        <x:f>IF(B12=0,0,G12/B12)</x:f>
        <x:v>0</x:v>
      </x:c>
      <x:c r="I12" s="14"/>
      <x:c r="J12" s="14"/>
    </x:row>
    <x:row r="13">
      <x:c r="A13" s="14"/>
      <x:c r="B13" s="22"/>
      <x:c r="C13" s="14"/>
      <x:c r="D13" s="14"/>
      <x:c r="E13" s="22" t="n">
        <x:f>IF(D13=0,0,B13/D13)</x:f>
        <x:v>0</x:v>
      </x:c>
      <x:c r="F13" s="22" t="n">
        <x:f>D13*Setup!$B$8</x:f>
        <x:v>0</x:v>
      </x:c>
      <x:c r="G13" s="22" t="n">
        <x:f>B13-F13</x:f>
        <x:v>0</x:v>
      </x:c>
      <x:c r="H13" s="28" t="n">
        <x:f>IF(B13=0,0,G13/B13)</x:f>
        <x:v>0</x:v>
      </x:c>
      <x:c r="I13" s="14"/>
      <x:c r="J13" s="14"/>
    </x:row>
    <x:row r="14">
      <x:c r="A14" s="14"/>
      <x:c r="B14" s="22"/>
      <x:c r="C14" s="14"/>
      <x:c r="D14" s="14"/>
      <x:c r="E14" s="22" t="n">
        <x:f>IF(D14=0,0,B14/D14)</x:f>
        <x:v>0</x:v>
      </x:c>
      <x:c r="F14" s="22" t="n">
        <x:f>D14*Setup!$B$8</x:f>
        <x:v>0</x:v>
      </x:c>
      <x:c r="G14" s="22" t="n">
        <x:f>B14-F14</x:f>
        <x:v>0</x:v>
      </x:c>
      <x:c r="H14" s="28" t="n">
        <x:f>IF(B14=0,0,G14/B14)</x:f>
        <x:v>0</x:v>
      </x:c>
      <x:c r="I14" s="14"/>
      <x:c r="J14" s="14"/>
    </x:row>
    <x:row r="15">
      <x:c r="A15" s="14"/>
      <x:c r="B15" s="22"/>
      <x:c r="C15" s="14"/>
      <x:c r="D15" s="14"/>
      <x:c r="E15" s="22" t="n">
        <x:f>IF(D15=0,0,B15/D15)</x:f>
        <x:v>0</x:v>
      </x:c>
      <x:c r="F15" s="22" t="n">
        <x:f>D15*Setup!$B$8</x:f>
        <x:v>0</x:v>
      </x:c>
      <x:c r="G15" s="22" t="n">
        <x:f>B15-F15</x:f>
        <x:v>0</x:v>
      </x:c>
      <x:c r="H15" s="28" t="n">
        <x:f>IF(B15=0,0,G15/B15)</x:f>
        <x:v>0</x:v>
      </x:c>
      <x:c r="I15" s="14"/>
      <x:c r="J15" s="14"/>
    </x:row>
    <x:row r="16">
      <x:c r="A16" s="14"/>
      <x:c r="B16" s="22"/>
      <x:c r="C16" s="14"/>
      <x:c r="D16" s="14"/>
      <x:c r="E16" s="22" t="n">
        <x:f>IF(D16=0,0,B16/D16)</x:f>
        <x:v>0</x:v>
      </x:c>
      <x:c r="F16" s="22" t="n">
        <x:f>D16*Setup!$B$8</x:f>
        <x:v>0</x:v>
      </x:c>
      <x:c r="G16" s="22" t="n">
        <x:f>B16-F16</x:f>
        <x:v>0</x:v>
      </x:c>
      <x:c r="H16" s="28" t="n">
        <x:f>IF(B16=0,0,G16/B16)</x:f>
        <x:v>0</x:v>
      </x:c>
      <x:c r="I16" s="14"/>
      <x:c r="J16" s="14"/>
    </x:row>
    <x:row r="17">
      <x:c r="A17" s="14"/>
      <x:c r="B17" s="22"/>
      <x:c r="C17" s="14"/>
      <x:c r="D17" s="14"/>
      <x:c r="E17" s="22" t="n">
        <x:f>IF(D17=0,0,B17/D17)</x:f>
        <x:v>0</x:v>
      </x:c>
      <x:c r="F17" s="22" t="n">
        <x:f>D17*Setup!$B$8</x:f>
        <x:v>0</x:v>
      </x:c>
      <x:c r="G17" s="22" t="n">
        <x:f>B17-F17</x:f>
        <x:v>0</x:v>
      </x:c>
      <x:c r="H17" s="28" t="n">
        <x:f>IF(B17=0,0,G17/B17)</x:f>
        <x:v>0</x:v>
      </x:c>
      <x:c r="I17" s="14"/>
      <x:c r="J17" s="14"/>
    </x:row>
    <x:row r="18">
      <x:c r="A18" s="14"/>
      <x:c r="B18" s="22"/>
      <x:c r="C18" s="14"/>
      <x:c r="D18" s="14"/>
      <x:c r="E18" s="22" t="n">
        <x:f>IF(D18=0,0,B18/D18)</x:f>
        <x:v>0</x:v>
      </x:c>
      <x:c r="F18" s="22" t="n">
        <x:f>D18*Setup!$B$8</x:f>
        <x:v>0</x:v>
      </x:c>
      <x:c r="G18" s="22" t="n">
        <x:f>B18-F18</x:f>
        <x:v>0</x:v>
      </x:c>
      <x:c r="H18" s="28" t="n">
        <x:f>IF(B18=0,0,G18/B18)</x:f>
        <x:v>0</x:v>
      </x:c>
      <x:c r="I18" s="14"/>
      <x:c r="J18" s="14"/>
    </x:row>
    <x:row r="19">
      <x:c r="A19" s="14"/>
      <x:c r="B19" s="22"/>
      <x:c r="C19" s="14"/>
      <x:c r="D19" s="14"/>
      <x:c r="E19" s="22" t="n">
        <x:f>IF(D19=0,0,B19/D19)</x:f>
        <x:v>0</x:v>
      </x:c>
      <x:c r="F19" s="22" t="n">
        <x:f>D19*Setup!$B$8</x:f>
        <x:v>0</x:v>
      </x:c>
      <x:c r="G19" s="22" t="n">
        <x:f>B19-F19</x:f>
        <x:v>0</x:v>
      </x:c>
      <x:c r="H19" s="28" t="n">
        <x:f>IF(B19=0,0,G19/B19)</x:f>
        <x:v>0</x:v>
      </x:c>
      <x:c r="I19" s="14"/>
      <x:c r="J19" s="14"/>
    </x:row>
    <x:row r="20">
      <x:c r="A20" s="14"/>
      <x:c r="B20" s="22"/>
      <x:c r="C20" s="14"/>
      <x:c r="D20" s="14"/>
      <x:c r="E20" s="22" t="n">
        <x:f>IF(D20=0,0,B20/D20)</x:f>
        <x:v>0</x:v>
      </x:c>
      <x:c r="F20" s="22" t="n">
        <x:f>D20*Setup!$B$8</x:f>
        <x:v>0</x:v>
      </x:c>
      <x:c r="G20" s="22" t="n">
        <x:f>B20-F20</x:f>
        <x:v>0</x:v>
      </x:c>
      <x:c r="H20" s="28" t="n">
        <x:f>IF(B20=0,0,G20/B20)</x:f>
        <x:v>0</x:v>
      </x:c>
      <x:c r="I20" s="14"/>
      <x:c r="J20" s="14"/>
    </x:row>
    <x:row r="21">
      <x:c r="A21" s="14"/>
      <x:c r="B21" s="22"/>
      <x:c r="C21" s="14"/>
      <x:c r="D21" s="14"/>
      <x:c r="E21" s="22" t="n">
        <x:f>IF(D21=0,0,B21/D21)</x:f>
        <x:v>0</x:v>
      </x:c>
      <x:c r="F21" s="22" t="n">
        <x:f>D21*Setup!$B$8</x:f>
        <x:v>0</x:v>
      </x:c>
      <x:c r="G21" s="22" t="n">
        <x:f>B21-F21</x:f>
        <x:v>0</x:v>
      </x:c>
      <x:c r="H21" s="28" t="n">
        <x:f>IF(B21=0,0,G21/B21)</x:f>
        <x:v>0</x:v>
      </x:c>
      <x:c r="I21" s="14"/>
      <x:c r="J21" s="14"/>
    </x:row>
    <x:row r="22">
      <x:c r="A22" s="14"/>
      <x:c r="B22" s="22"/>
      <x:c r="C22" s="14"/>
      <x:c r="D22" s="14"/>
      <x:c r="E22" s="22" t="n">
        <x:f>IF(D22=0,0,B22/D22)</x:f>
        <x:v>0</x:v>
      </x:c>
      <x:c r="F22" s="22" t="n">
        <x:f>D22*Setup!$B$8</x:f>
        <x:v>0</x:v>
      </x:c>
      <x:c r="G22" s="22" t="n">
        <x:f>B22-F22</x:f>
        <x:v>0</x:v>
      </x:c>
      <x:c r="H22" s="28" t="n">
        <x:f>IF(B22=0,0,G22/B22)</x:f>
        <x:v>0</x:v>
      </x:c>
      <x:c r="I22" s="14"/>
      <x:c r="J22" s="14"/>
    </x:row>
    <x:row r="23">
      <x:c r="A23" s="14"/>
      <x:c r="B23" s="22"/>
      <x:c r="C23" s="14"/>
      <x:c r="D23" s="14"/>
      <x:c r="E23" s="22" t="n">
        <x:f>IF(D23=0,0,B23/D23)</x:f>
        <x:v>0</x:v>
      </x:c>
      <x:c r="F23" s="22" t="n">
        <x:f>D23*Setup!$B$8</x:f>
        <x:v>0</x:v>
      </x:c>
      <x:c r="G23" s="22" t="n">
        <x:f>B23-F23</x:f>
        <x:v>0</x:v>
      </x:c>
      <x:c r="H23" s="28" t="n">
        <x:f>IF(B23=0,0,G23/B23)</x:f>
        <x:v>0</x:v>
      </x:c>
      <x:c r="I23" s="14"/>
      <x:c r="J23" s="14"/>
    </x:row>
    <x:row r="24">
      <x:c r="A24" s="14"/>
      <x:c r="B24" s="22"/>
      <x:c r="C24" s="14"/>
      <x:c r="D24" s="14"/>
      <x:c r="E24" s="22" t="n">
        <x:f>IF(D24=0,0,B24/D24)</x:f>
        <x:v>0</x:v>
      </x:c>
      <x:c r="F24" s="22" t="n">
        <x:f>D24*Setup!$B$8</x:f>
        <x:v>0</x:v>
      </x:c>
      <x:c r="G24" s="22" t="n">
        <x:f>B24-F24</x:f>
        <x:v>0</x:v>
      </x:c>
      <x:c r="H24" s="28" t="n">
        <x:f>IF(B24=0,0,G24/B24)</x:f>
        <x:v>0</x:v>
      </x:c>
      <x:c r="I24" s="14"/>
      <x:c r="J24" s="14"/>
    </x:row>
    <x:row r="25">
      <x:c r="A25" s="14"/>
      <x:c r="B25" s="22"/>
      <x:c r="C25" s="14"/>
      <x:c r="D25" s="14"/>
      <x:c r="E25" s="22" t="n">
        <x:f>IF(D25=0,0,B25/D25)</x:f>
        <x:v>0</x:v>
      </x:c>
      <x:c r="F25" s="22" t="n">
        <x:f>D25*Setup!$B$8</x:f>
        <x:v>0</x:v>
      </x:c>
      <x:c r="G25" s="22" t="n">
        <x:f>B25-F25</x:f>
        <x:v>0</x:v>
      </x:c>
      <x:c r="H25" s="28" t="n">
        <x:f>IF(B25=0,0,G25/B25)</x:f>
        <x:v>0</x:v>
      </x:c>
      <x:c r="I25" s="14"/>
      <x:c r="J25" s="14"/>
    </x:row>
    <x:row r="26">
      <x:c r="A26" s="14"/>
      <x:c r="B26" s="22"/>
      <x:c r="C26" s="14"/>
      <x:c r="D26" s="14"/>
      <x:c r="E26" s="22" t="n">
        <x:f>IF(D26=0,0,B26/D26)</x:f>
        <x:v>0</x:v>
      </x:c>
      <x:c r="F26" s="22" t="n">
        <x:f>D26*Setup!$B$8</x:f>
        <x:v>0</x:v>
      </x:c>
      <x:c r="G26" s="22" t="n">
        <x:f>B26-F26</x:f>
        <x:v>0</x:v>
      </x:c>
      <x:c r="H26" s="28" t="n">
        <x:f>IF(B26=0,0,G26/B26)</x:f>
        <x:v>0</x:v>
      </x:c>
      <x:c r="I26" s="14"/>
      <x:c r="J26" s="14"/>
    </x:row>
    <x:row r="27">
      <x:c r="A27" s="14"/>
      <x:c r="B27" s="22"/>
      <x:c r="C27" s="14"/>
      <x:c r="D27" s="14"/>
      <x:c r="E27" s="22" t="n">
        <x:f>IF(D27=0,0,B27/D27)</x:f>
        <x:v>0</x:v>
      </x:c>
      <x:c r="F27" s="22" t="n">
        <x:f>D27*Setup!$B$8</x:f>
        <x:v>0</x:v>
      </x:c>
      <x:c r="G27" s="22" t="n">
        <x:f>B27-F27</x:f>
        <x:v>0</x:v>
      </x:c>
      <x:c r="H27" s="28" t="n">
        <x:f>IF(B27=0,0,G27/B27)</x:f>
        <x:v>0</x:v>
      </x:c>
      <x:c r="I27" s="14"/>
      <x:c r="J27" s="14"/>
    </x:row>
    <x:row r="28">
      <x:c r="A28" s="14"/>
      <x:c r="B28" s="22"/>
      <x:c r="C28" s="14"/>
      <x:c r="D28" s="14"/>
      <x:c r="E28" s="22" t="n">
        <x:f>IF(D28=0,0,B28/D28)</x:f>
        <x:v>0</x:v>
      </x:c>
      <x:c r="F28" s="22" t="n">
        <x:f>D28*Setup!$B$8</x:f>
        <x:v>0</x:v>
      </x:c>
      <x:c r="G28" s="22" t="n">
        <x:f>B28-F28</x:f>
        <x:v>0</x:v>
      </x:c>
      <x:c r="H28" s="28" t="n">
        <x:f>IF(B28=0,0,G28/B28)</x:f>
        <x:v>0</x:v>
      </x:c>
      <x:c r="I28" s="14"/>
      <x:c r="J28" s="14"/>
    </x:row>
    <x:row r="29">
      <x:c r="A29" s="14"/>
      <x:c r="B29" s="22"/>
      <x:c r="C29" s="14"/>
      <x:c r="D29" s="14"/>
      <x:c r="E29" s="22" t="n">
        <x:f>IF(D29=0,0,B29/D29)</x:f>
        <x:v>0</x:v>
      </x:c>
      <x:c r="F29" s="22" t="n">
        <x:f>D29*Setup!$B$8</x:f>
        <x:v>0</x:v>
      </x:c>
      <x:c r="G29" s="22" t="n">
        <x:f>B29-F29</x:f>
        <x:v>0</x:v>
      </x:c>
      <x:c r="H29" s="28" t="n">
        <x:f>IF(B29=0,0,G29/B29)</x:f>
        <x:v>0</x:v>
      </x:c>
      <x:c r="I29" s="14"/>
      <x:c r="J29" s="14"/>
    </x:row>
    <x:row r="30">
      <x:c r="A30" s="14"/>
      <x:c r="B30" s="22"/>
      <x:c r="C30" s="14"/>
      <x:c r="D30" s="14"/>
      <x:c r="E30" s="22" t="n">
        <x:f>IF(D30=0,0,B30/D30)</x:f>
        <x:v>0</x:v>
      </x:c>
      <x:c r="F30" s="22" t="n">
        <x:f>D30*Setup!$B$8</x:f>
        <x:v>0</x:v>
      </x:c>
      <x:c r="G30" s="22" t="n">
        <x:f>B30-F30</x:f>
        <x:v>0</x:v>
      </x:c>
      <x:c r="H30" s="28" t="n">
        <x:f>IF(B30=0,0,G30/B30)</x:f>
        <x:v>0</x:v>
      </x:c>
      <x:c r="I30" s="14"/>
      <x:c r="J30" s="14"/>
    </x:row>
    <x:row r="31">
      <x:c r="A31" s="14"/>
      <x:c r="B31" s="22"/>
      <x:c r="C31" s="14"/>
      <x:c r="D31" s="14"/>
      <x:c r="E31" s="22" t="n">
        <x:f>IF(D31=0,0,B31/D31)</x:f>
        <x:v>0</x:v>
      </x:c>
      <x:c r="F31" s="22" t="n">
        <x:f>D31*Setup!$B$8</x:f>
        <x:v>0</x:v>
      </x:c>
      <x:c r="G31" s="22" t="n">
        <x:f>B31-F31</x:f>
        <x:v>0</x:v>
      </x:c>
      <x:c r="H31" s="28" t="n">
        <x:f>IF(B31=0,0,G31/B31)</x:f>
        <x:v>0</x:v>
      </x:c>
      <x:c r="I31" s="14"/>
      <x:c r="J31" s="14"/>
    </x:row>
    <x:row r="32">
      <x:c r="A32" s="14"/>
      <x:c r="B32" s="22"/>
      <x:c r="C32" s="14"/>
      <x:c r="D32" s="14"/>
      <x:c r="E32" s="22" t="n">
        <x:f>IF(D32=0,0,B32/D32)</x:f>
        <x:v>0</x:v>
      </x:c>
      <x:c r="F32" s="22" t="n">
        <x:f>D32*Setup!$B$8</x:f>
        <x:v>0</x:v>
      </x:c>
      <x:c r="G32" s="22" t="n">
        <x:f>B32-F32</x:f>
        <x:v>0</x:v>
      </x:c>
      <x:c r="H32" s="28" t="n">
        <x:f>IF(B32=0,0,G32/B32)</x:f>
        <x:v>0</x:v>
      </x:c>
      <x:c r="I32" s="14"/>
      <x:c r="J32" s="14"/>
    </x:row>
    <x:row r="33">
      <x:c r="A33" s="14"/>
      <x:c r="B33" s="22"/>
      <x:c r="C33" s="14"/>
      <x:c r="D33" s="14"/>
      <x:c r="E33" s="22" t="n">
        <x:f>IF(D33=0,0,B33/D33)</x:f>
        <x:v>0</x:v>
      </x:c>
      <x:c r="F33" s="22" t="n">
        <x:f>D33*Setup!$B$8</x:f>
        <x:v>0</x:v>
      </x:c>
      <x:c r="G33" s="22" t="n">
        <x:f>B33-F33</x:f>
        <x:v>0</x:v>
      </x:c>
      <x:c r="H33" s="28" t="n">
        <x:f>IF(B33=0,0,G33/B33)</x:f>
        <x:v>0</x:v>
      </x:c>
      <x:c r="I33" s="14"/>
      <x:c r="J33" s="14"/>
    </x:row>
    <x:row r="34">
      <x:c r="A34" s="14"/>
      <x:c r="B34" s="22"/>
      <x:c r="C34" s="14"/>
      <x:c r="D34" s="14"/>
      <x:c r="E34" s="22" t="n">
        <x:f>IF(D34=0,0,B34/D34)</x:f>
        <x:v>0</x:v>
      </x:c>
      <x:c r="F34" s="22" t="n">
        <x:f>D34*Setup!$B$8</x:f>
        <x:v>0</x:v>
      </x:c>
      <x:c r="G34" s="22" t="n">
        <x:f>B34-F34</x:f>
        <x:v>0</x:v>
      </x:c>
      <x:c r="H34" s="28" t="n">
        <x:f>IF(B34=0,0,G34/B34)</x:f>
        <x:v>0</x:v>
      </x:c>
      <x:c r="I34" s="14"/>
      <x:c r="J34" s="14"/>
    </x:row>
    <x:row r="35">
      <x:c r="A35" s="14"/>
      <x:c r="B35" s="22"/>
      <x:c r="C35" s="14"/>
      <x:c r="D35" s="14"/>
      <x:c r="E35" s="22" t="n">
        <x:f>IF(D35=0,0,B35/D35)</x:f>
        <x:v>0</x:v>
      </x:c>
      <x:c r="F35" s="22" t="n">
        <x:f>D35*Setup!$B$8</x:f>
        <x:v>0</x:v>
      </x:c>
      <x:c r="G35" s="22" t="n">
        <x:f>B35-F35</x:f>
        <x:v>0</x:v>
      </x:c>
      <x:c r="H35" s="28" t="n">
        <x:f>IF(B35=0,0,G35/B35)</x:f>
        <x:v>0</x:v>
      </x:c>
      <x:c r="I35" s="14"/>
      <x:c r="J35" s="14"/>
    </x:row>
    <x:row r="36">
      <x:c r="A36" s="14"/>
      <x:c r="B36" s="22"/>
      <x:c r="C36" s="14"/>
      <x:c r="D36" s="14"/>
      <x:c r="E36" s="22" t="n">
        <x:f>IF(D36=0,0,B36/D36)</x:f>
        <x:v>0</x:v>
      </x:c>
      <x:c r="F36" s="22" t="n">
        <x:f>D36*Setup!$B$8</x:f>
        <x:v>0</x:v>
      </x:c>
      <x:c r="G36" s="22" t="n">
        <x:f>B36-F36</x:f>
        <x:v>0</x:v>
      </x:c>
      <x:c r="H36" s="28" t="n">
        <x:f>IF(B36=0,0,G36/B36)</x:f>
        <x:v>0</x:v>
      </x:c>
      <x:c r="I36" s="14"/>
      <x:c r="J36" s="14"/>
    </x:row>
    <x:row r="37">
      <x:c r="A37" s="14"/>
      <x:c r="B37" s="22"/>
      <x:c r="C37" s="14"/>
      <x:c r="D37" s="14"/>
      <x:c r="E37" s="22" t="n">
        <x:f>IF(D37=0,0,B37/D37)</x:f>
        <x:v>0</x:v>
      </x:c>
      <x:c r="F37" s="22" t="n">
        <x:f>D37*Setup!$B$8</x:f>
        <x:v>0</x:v>
      </x:c>
      <x:c r="G37" s="22" t="n">
        <x:f>B37-F37</x:f>
        <x:v>0</x:v>
      </x:c>
      <x:c r="H37" s="28" t="n">
        <x:f>IF(B37=0,0,G37/B37)</x:f>
        <x:v>0</x:v>
      </x:c>
      <x:c r="I37" s="14"/>
      <x:c r="J37" s="14"/>
    </x:row>
    <x:row r="38">
      <x:c r="A38" s="14"/>
      <x:c r="B38" s="22"/>
      <x:c r="C38" s="14"/>
      <x:c r="D38" s="14"/>
      <x:c r="E38" s="22" t="n">
        <x:f>IF(D38=0,0,B38/D38)</x:f>
        <x:v>0</x:v>
      </x:c>
      <x:c r="F38" s="22" t="n">
        <x:f>D38*Setup!$B$8</x:f>
        <x:v>0</x:v>
      </x:c>
      <x:c r="G38" s="22" t="n">
        <x:f>B38-F38</x:f>
        <x:v>0</x:v>
      </x:c>
      <x:c r="H38" s="28" t="n">
        <x:f>IF(B38=0,0,G38/B38)</x:f>
        <x:v>0</x:v>
      </x:c>
      <x:c r="I38" s="14"/>
      <x:c r="J38" s="14"/>
    </x:row>
    <x:row r="39">
      <x:c r="A39" s="14"/>
      <x:c r="B39" s="22"/>
      <x:c r="C39" s="14"/>
      <x:c r="D39" s="14"/>
      <x:c r="E39" s="22" t="n">
        <x:f>IF(D39=0,0,B39/D39)</x:f>
        <x:v>0</x:v>
      </x:c>
      <x:c r="F39" s="22" t="n">
        <x:f>D39*Setup!$B$8</x:f>
        <x:v>0</x:v>
      </x:c>
      <x:c r="G39" s="22" t="n">
        <x:f>B39-F39</x:f>
        <x:v>0</x:v>
      </x:c>
      <x:c r="H39" s="28" t="n">
        <x:f>IF(B39=0,0,G39/B39)</x:f>
        <x:v>0</x:v>
      </x:c>
      <x:c r="I39" s="14"/>
      <x:c r="J39" s="14"/>
    </x:row>
    <x:row r="40">
      <x:c r="A40" s="14"/>
      <x:c r="B40" s="22"/>
      <x:c r="C40" s="14"/>
      <x:c r="D40" s="14"/>
      <x:c r="E40" s="22" t="n">
        <x:f>IF(D40=0,0,B40/D40)</x:f>
        <x:v>0</x:v>
      </x:c>
      <x:c r="F40" s="22" t="n">
        <x:f>D40*Setup!$B$8</x:f>
        <x:v>0</x:v>
      </x:c>
      <x:c r="G40" s="22" t="n">
        <x:f>B40-F40</x:f>
        <x:v>0</x:v>
      </x:c>
      <x:c r="H40" s="28" t="n">
        <x:f>IF(B40=0,0,G40/B40)</x:f>
        <x:v>0</x:v>
      </x:c>
      <x:c r="I40" s="14"/>
      <x:c r="J40" s="14"/>
    </x:row>
    <x:row r="41">
      <x:c r="A41" s="14"/>
      <x:c r="B41" s="22"/>
      <x:c r="C41" s="14"/>
      <x:c r="D41" s="14"/>
      <x:c r="E41" s="22" t="n">
        <x:f>IF(D41=0,0,B41/D41)</x:f>
        <x:v>0</x:v>
      </x:c>
      <x:c r="F41" s="22" t="n">
        <x:f>D41*Setup!$B$8</x:f>
        <x:v>0</x:v>
      </x:c>
      <x:c r="G41" s="22" t="n">
        <x:f>B41-F41</x:f>
        <x:v>0</x:v>
      </x:c>
      <x:c r="H41" s="28" t="n">
        <x:f>IF(B41=0,0,G41/B41)</x:f>
        <x:v>0</x:v>
      </x:c>
      <x:c r="I41" s="14"/>
      <x:c r="J41" s="14"/>
    </x:row>
    <x:row r="42">
      <x:c r="A42" s="14"/>
      <x:c r="B42" s="22"/>
      <x:c r="C42" s="14"/>
      <x:c r="D42" s="14"/>
      <x:c r="E42" s="22" t="n">
        <x:f>IF(D42=0,0,B42/D42)</x:f>
        <x:v>0</x:v>
      </x:c>
      <x:c r="F42" s="22" t="n">
        <x:f>D42*Setup!$B$8</x:f>
        <x:v>0</x:v>
      </x:c>
      <x:c r="G42" s="22" t="n">
        <x:f>B42-F42</x:f>
        <x:v>0</x:v>
      </x:c>
      <x:c r="H42" s="28" t="n">
        <x:f>IF(B42=0,0,G42/B42)</x:f>
        <x:v>0</x:v>
      </x:c>
      <x:c r="I42" s="14"/>
      <x:c r="J42" s="14"/>
    </x:row>
    <x:row r="43">
      <x:c r="A43" s="14"/>
      <x:c r="B43" s="22"/>
      <x:c r="C43" s="14"/>
      <x:c r="D43" s="14"/>
      <x:c r="E43" s="22" t="n">
        <x:f>IF(D43=0,0,B43/D43)</x:f>
        <x:v>0</x:v>
      </x:c>
      <x:c r="F43" s="22" t="n">
        <x:f>D43*Setup!$B$8</x:f>
        <x:v>0</x:v>
      </x:c>
      <x:c r="G43" s="22" t="n">
        <x:f>B43-F43</x:f>
        <x:v>0</x:v>
      </x:c>
      <x:c r="H43" s="28" t="n">
        <x:f>IF(B43=0,0,G43/B43)</x:f>
        <x:v>0</x:v>
      </x:c>
      <x:c r="I43" s="14"/>
      <x:c r="J43" s="14"/>
    </x:row>
    <x:row r="44">
      <x:c r="A44" s="14"/>
      <x:c r="B44" s="22"/>
      <x:c r="C44" s="14"/>
      <x:c r="D44" s="14"/>
      <x:c r="E44" s="22" t="n">
        <x:f>IF(D44=0,0,B44/D44)</x:f>
        <x:v>0</x:v>
      </x:c>
      <x:c r="F44" s="22" t="n">
        <x:f>D44*Setup!$B$8</x:f>
        <x:v>0</x:v>
      </x:c>
      <x:c r="G44" s="22" t="n">
        <x:f>B44-F44</x:f>
        <x:v>0</x:v>
      </x:c>
      <x:c r="H44" s="28" t="n">
        <x:f>IF(B44=0,0,G44/B44)</x:f>
        <x:v>0</x:v>
      </x:c>
      <x:c r="I44" s="14"/>
      <x:c r="J44" s="14"/>
    </x:row>
    <x:row r="45">
      <x:c r="A45" s="14"/>
      <x:c r="B45" s="22"/>
      <x:c r="C45" s="14"/>
      <x:c r="D45" s="14"/>
      <x:c r="E45" s="22" t="n">
        <x:f>IF(D45=0,0,B45/D45)</x:f>
        <x:v>0</x:v>
      </x:c>
      <x:c r="F45" s="22" t="n">
        <x:f>D45*Setup!$B$8</x:f>
        <x:v>0</x:v>
      </x:c>
      <x:c r="G45" s="22" t="n">
        <x:f>B45-F45</x:f>
        <x:v>0</x:v>
      </x:c>
      <x:c r="H45" s="28" t="n">
        <x:f>IF(B45=0,0,G45/B45)</x:f>
        <x:v>0</x:v>
      </x:c>
      <x:c r="I45" s="14"/>
      <x:c r="J45" s="14"/>
    </x:row>
    <x:row r="46">
      <x:c r="A46" s="14"/>
      <x:c r="B46" s="22"/>
      <x:c r="C46" s="14"/>
      <x:c r="D46" s="14"/>
      <x:c r="E46" s="22" t="n">
        <x:f>IF(D46=0,0,B46/D46)</x:f>
        <x:v>0</x:v>
      </x:c>
      <x:c r="F46" s="22" t="n">
        <x:f>D46*Setup!$B$8</x:f>
        <x:v>0</x:v>
      </x:c>
      <x:c r="G46" s="22" t="n">
        <x:f>B46-F46</x:f>
        <x:v>0</x:v>
      </x:c>
      <x:c r="H46" s="28" t="n">
        <x:f>IF(B46=0,0,G46/B46)</x:f>
        <x:v>0</x:v>
      </x:c>
      <x:c r="I46" s="14"/>
      <x:c r="J46" s="14"/>
    </x:row>
    <x:row r="47">
      <x:c r="A47" s="14"/>
      <x:c r="B47" s="22"/>
      <x:c r="C47" s="14"/>
      <x:c r="D47" s="14"/>
      <x:c r="E47" s="22" t="n">
        <x:f>IF(D47=0,0,B47/D47)</x:f>
        <x:v>0</x:v>
      </x:c>
      <x:c r="F47" s="22" t="n">
        <x:f>D47*Setup!$B$8</x:f>
        <x:v>0</x:v>
      </x:c>
      <x:c r="G47" s="22" t="n">
        <x:f>B47-F47</x:f>
        <x:v>0</x:v>
      </x:c>
      <x:c r="H47" s="28" t="n">
        <x:f>IF(B47=0,0,G47/B47)</x:f>
        <x:v>0</x:v>
      </x:c>
      <x:c r="I47" s="14"/>
      <x:c r="J47" s="14"/>
    </x:row>
    <x:row r="48">
      <x:c r="A48" s="14"/>
      <x:c r="B48" s="22"/>
      <x:c r="C48" s="14"/>
      <x:c r="D48" s="14"/>
      <x:c r="E48" s="22" t="n">
        <x:f>IF(D48=0,0,B48/D48)</x:f>
        <x:v>0</x:v>
      </x:c>
      <x:c r="F48" s="22" t="n">
        <x:f>D48*Setup!$B$8</x:f>
        <x:v>0</x:v>
      </x:c>
      <x:c r="G48" s="22" t="n">
        <x:f>B48-F48</x:f>
        <x:v>0</x:v>
      </x:c>
      <x:c r="H48" s="28" t="n">
        <x:f>IF(B48=0,0,G48/B48)</x:f>
        <x:v>0</x:v>
      </x:c>
      <x:c r="I48" s="14"/>
      <x:c r="J48" s="14"/>
    </x:row>
    <x:row r="49">
      <x:c r="A49" s="14"/>
      <x:c r="B49" s="22"/>
      <x:c r="C49" s="14"/>
      <x:c r="D49" s="14"/>
      <x:c r="E49" s="22" t="n">
        <x:f>IF(D49=0,0,B49/D49)</x:f>
        <x:v>0</x:v>
      </x:c>
      <x:c r="F49" s="22" t="n">
        <x:f>D49*Setup!$B$8</x:f>
        <x:v>0</x:v>
      </x:c>
      <x:c r="G49" s="22" t="n">
        <x:f>B49-F49</x:f>
        <x:v>0</x:v>
      </x:c>
      <x:c r="H49" s="28" t="n">
        <x:f>IF(B49=0,0,G49/B49)</x:f>
        <x:v>0</x:v>
      </x:c>
      <x:c r="I49" s="14"/>
      <x:c r="J49" s="14"/>
    </x:row>
    <x:row r="50">
      <x:c r="A50" s="14"/>
      <x:c r="B50" s="22"/>
      <x:c r="C50" s="14"/>
      <x:c r="D50" s="14"/>
      <x:c r="E50" s="22" t="n">
        <x:f>IF(D50=0,0,B50/D50)</x:f>
        <x:v>0</x:v>
      </x:c>
      <x:c r="F50" s="22" t="n">
        <x:f>D50*Setup!$B$8</x:f>
        <x:v>0</x:v>
      </x:c>
      <x:c r="G50" s="22" t="n">
        <x:f>B50-F50</x:f>
        <x:v>0</x:v>
      </x:c>
      <x:c r="H50" s="28" t="n">
        <x:f>IF(B50=0,0,G50/B50)</x:f>
        <x:v>0</x:v>
      </x:c>
      <x:c r="I50" s="14"/>
      <x:c r="J50" s="14"/>
    </x:row>
    <x:row r="51">
      <x:c r="A51" s="14"/>
      <x:c r="B51" s="22"/>
      <x:c r="C51" s="14"/>
      <x:c r="D51" s="14"/>
      <x:c r="E51" s="22" t="n">
        <x:f>IF(D51=0,0,B51/D51)</x:f>
        <x:v>0</x:v>
      </x:c>
      <x:c r="F51" s="22" t="n">
        <x:f>D51*Setup!$B$8</x:f>
        <x:v>0</x:v>
      </x:c>
      <x:c r="G51" s="22" t="n">
        <x:f>B51-F51</x:f>
        <x:v>0</x:v>
      </x:c>
      <x:c r="H51" s="28" t="n">
        <x:f>IF(B51=0,0,G51/B51)</x:f>
        <x:v>0</x:v>
      </x:c>
      <x:c r="I51" s="14"/>
      <x:c r="J51" s="14"/>
    </x:row>
    <x:row r="52">
      <x:c r="A52" s="14"/>
      <x:c r="B52" s="22"/>
      <x:c r="C52" s="14"/>
      <x:c r="D52" s="14"/>
      <x:c r="E52" s="22" t="n">
        <x:f>IF(D52=0,0,B52/D52)</x:f>
        <x:v>0</x:v>
      </x:c>
      <x:c r="F52" s="22" t="n">
        <x:f>D52*Setup!$B$8</x:f>
        <x:v>0</x:v>
      </x:c>
      <x:c r="G52" s="22" t="n">
        <x:f>B52-F52</x:f>
        <x:v>0</x:v>
      </x:c>
      <x:c r="H52" s="28" t="n">
        <x:f>IF(B52=0,0,G52/B52)</x:f>
        <x:v>0</x:v>
      </x:c>
      <x:c r="I52" s="14"/>
      <x:c r="J52" s="14"/>
    </x:row>
    <x:row r="53">
      <x:c r="A53" s="14"/>
      <x:c r="B53" s="22"/>
      <x:c r="C53" s="14"/>
      <x:c r="D53" s="14"/>
      <x:c r="E53" s="22" t="n">
        <x:f>IF(D53=0,0,B53/D53)</x:f>
        <x:v>0</x:v>
      </x:c>
      <x:c r="F53" s="22" t="n">
        <x:f>D53*Setup!$B$8</x:f>
        <x:v>0</x:v>
      </x:c>
      <x:c r="G53" s="22" t="n">
        <x:f>B53-F53</x:f>
        <x:v>0</x:v>
      </x:c>
      <x:c r="H53" s="28" t="n">
        <x:f>IF(B53=0,0,G53/B53)</x:f>
        <x:v>0</x:v>
      </x:c>
      <x:c r="I53" s="14"/>
      <x:c r="J53" s="14"/>
    </x:row>
    <x:row r="54">
      <x:c r="A54" s="14"/>
      <x:c r="B54" s="22"/>
      <x:c r="C54" s="14"/>
      <x:c r="D54" s="14"/>
      <x:c r="E54" s="22" t="n">
        <x:f>IF(D54=0,0,B54/D54)</x:f>
        <x:v>0</x:v>
      </x:c>
      <x:c r="F54" s="22" t="n">
        <x:f>D54*Setup!$B$8</x:f>
        <x:v>0</x:v>
      </x:c>
      <x:c r="G54" s="22" t="n">
        <x:f>B54-F54</x:f>
        <x:v>0</x:v>
      </x:c>
      <x:c r="H54" s="28" t="n">
        <x:f>IF(B54=0,0,G54/B54)</x:f>
        <x:v>0</x:v>
      </x:c>
      <x:c r="I54" s="14"/>
      <x:c r="J54" s="14"/>
    </x:row>
    <x:row r="55">
      <x:c r="A55" s="14"/>
      <x:c r="B55" s="22"/>
      <x:c r="C55" s="14"/>
      <x:c r="D55" s="14"/>
      <x:c r="E55" s="22" t="n">
        <x:f>IF(D55=0,0,B55/D55)</x:f>
        <x:v>0</x:v>
      </x:c>
      <x:c r="F55" s="22" t="n">
        <x:f>D55*Setup!$B$8</x:f>
        <x:v>0</x:v>
      </x:c>
      <x:c r="G55" s="22" t="n">
        <x:f>B55-F55</x:f>
        <x:v>0</x:v>
      </x:c>
      <x:c r="H55" s="28" t="n">
        <x:f>IF(B55=0,0,G55/B55)</x:f>
        <x:v>0</x:v>
      </x:c>
      <x:c r="I55" s="14"/>
      <x:c r="J55" s="14"/>
    </x:row>
    <x:row r="56">
      <x:c r="A56" s="14"/>
      <x:c r="B56" s="22"/>
      <x:c r="C56" s="14"/>
      <x:c r="D56" s="14"/>
      <x:c r="E56" s="22" t="n">
        <x:f>IF(D56=0,0,B56/D56)</x:f>
        <x:v>0</x:v>
      </x:c>
      <x:c r="F56" s="22" t="n">
        <x:f>D56*Setup!$B$8</x:f>
        <x:v>0</x:v>
      </x:c>
      <x:c r="G56" s="22" t="n">
        <x:f>B56-F56</x:f>
        <x:v>0</x:v>
      </x:c>
      <x:c r="H56" s="28" t="n">
        <x:f>IF(B56=0,0,G56/B56)</x:f>
        <x:v>0</x:v>
      </x:c>
      <x:c r="I56" s="14"/>
      <x:c r="J56" s="14"/>
    </x:row>
    <x:row r="57">
      <x:c r="A57" s="14"/>
      <x:c r="B57" s="22"/>
      <x:c r="C57" s="14"/>
      <x:c r="D57" s="14"/>
      <x:c r="E57" s="22" t="n">
        <x:f>IF(D57=0,0,B57/D57)</x:f>
        <x:v>0</x:v>
      </x:c>
      <x:c r="F57" s="22" t="n">
        <x:f>D57*Setup!$B$8</x:f>
        <x:v>0</x:v>
      </x:c>
      <x:c r="G57" s="22" t="n">
        <x:f>B57-F57</x:f>
        <x:v>0</x:v>
      </x:c>
      <x:c r="H57" s="28" t="n">
        <x:f>IF(B57=0,0,G57/B57)</x:f>
        <x:v>0</x:v>
      </x:c>
      <x:c r="I57" s="14"/>
      <x:c r="J57" s="14"/>
    </x:row>
    <x:row r="58">
      <x:c r="A58" s="14"/>
      <x:c r="B58" s="22"/>
      <x:c r="C58" s="14"/>
      <x:c r="D58" s="14"/>
      <x:c r="E58" s="22" t="n">
        <x:f>IF(D58=0,0,B58/D58)</x:f>
        <x:v>0</x:v>
      </x:c>
      <x:c r="F58" s="22" t="n">
        <x:f>D58*Setup!$B$8</x:f>
        <x:v>0</x:v>
      </x:c>
      <x:c r="G58" s="22" t="n">
        <x:f>B58-F58</x:f>
        <x:v>0</x:v>
      </x:c>
      <x:c r="H58" s="28" t="n">
        <x:f>IF(B58=0,0,G58/B58)</x:f>
        <x:v>0</x:v>
      </x:c>
      <x:c r="I58" s="14"/>
      <x:c r="J58" s="14"/>
    </x:row>
    <x:row r="59">
      <x:c r="A59" s="14"/>
      <x:c r="B59" s="22"/>
      <x:c r="C59" s="14"/>
      <x:c r="D59" s="14"/>
      <x:c r="E59" s="22" t="n">
        <x:f>IF(D59=0,0,B59/D59)</x:f>
        <x:v>0</x:v>
      </x:c>
      <x:c r="F59" s="22" t="n">
        <x:f>D59*Setup!$B$8</x:f>
        <x:v>0</x:v>
      </x:c>
      <x:c r="G59" s="22" t="n">
        <x:f>B59-F59</x:f>
        <x:v>0</x:v>
      </x:c>
      <x:c r="H59" s="28" t="n">
        <x:f>IF(B59=0,0,G59/B59)</x:f>
        <x:v>0</x:v>
      </x:c>
      <x:c r="I59" s="14"/>
      <x:c r="J59" s="14"/>
    </x:row>
    <x:row r="60">
      <x:c r="A60" s="14"/>
      <x:c r="B60" s="22"/>
      <x:c r="C60" s="14"/>
      <x:c r="D60" s="14"/>
      <x:c r="E60" s="22" t="n">
        <x:f>IF(D60=0,0,B60/D60)</x:f>
        <x:v>0</x:v>
      </x:c>
      <x:c r="F60" s="22" t="n">
        <x:f>D60*Setup!$B$8</x:f>
        <x:v>0</x:v>
      </x:c>
      <x:c r="G60" s="22" t="n">
        <x:f>B60-F60</x:f>
        <x:v>0</x:v>
      </x:c>
      <x:c r="H60" s="28" t="n">
        <x:f>IF(B60=0,0,G60/B60)</x:f>
        <x:v>0</x:v>
      </x:c>
      <x:c r="I60" s="14"/>
      <x:c r="J60" s="14"/>
    </x:row>
    <x:row r="61">
      <x:c r="A61" s="14"/>
      <x:c r="B61" s="22"/>
      <x:c r="C61" s="14"/>
      <x:c r="D61" s="14"/>
      <x:c r="E61" s="22" t="n">
        <x:f>IF(D61=0,0,B61/D61)</x:f>
        <x:v>0</x:v>
      </x:c>
      <x:c r="F61" s="22" t="n">
        <x:f>D61*Setup!$B$8</x:f>
        <x:v>0</x:v>
      </x:c>
      <x:c r="G61" s="22" t="n">
        <x:f>B61-F61</x:f>
        <x:v>0</x:v>
      </x:c>
      <x:c r="H61" s="28" t="n">
        <x:f>IF(B61=0,0,G61/B61)</x:f>
        <x:v>0</x:v>
      </x:c>
      <x:c r="I61" s="14"/>
      <x:c r="J61" s="14"/>
    </x:row>
    <x:row r="62">
      <x:c r="A62" s="14"/>
      <x:c r="B62" s="22"/>
      <x:c r="C62" s="14"/>
      <x:c r="D62" s="14"/>
      <x:c r="E62" s="22" t="n">
        <x:f>IF(D62=0,0,B62/D62)</x:f>
        <x:v>0</x:v>
      </x:c>
      <x:c r="F62" s="22" t="n">
        <x:f>D62*Setup!$B$8</x:f>
        <x:v>0</x:v>
      </x:c>
      <x:c r="G62" s="22" t="n">
        <x:f>B62-F62</x:f>
        <x:v>0</x:v>
      </x:c>
      <x:c r="H62" s="28" t="n">
        <x:f>IF(B62=0,0,G62/B62)</x:f>
        <x:v>0</x:v>
      </x:c>
      <x:c r="I62" s="14"/>
      <x:c r="J62" s="14"/>
    </x:row>
    <x:row r="63">
      <x:c r="A63" s="14"/>
      <x:c r="B63" s="22"/>
      <x:c r="C63" s="14"/>
      <x:c r="D63" s="14"/>
      <x:c r="E63" s="22" t="n">
        <x:f>IF(D63=0,0,B63/D63)</x:f>
        <x:v>0</x:v>
      </x:c>
      <x:c r="F63" s="22" t="n">
        <x:f>D63*Setup!$B$8</x:f>
        <x:v>0</x:v>
      </x:c>
      <x:c r="G63" s="22" t="n">
        <x:f>B63-F63</x:f>
        <x:v>0</x:v>
      </x:c>
      <x:c r="H63" s="28" t="n">
        <x:f>IF(B63=0,0,G63/B63)</x:f>
        <x:v>0</x:v>
      </x:c>
      <x:c r="I63" s="14"/>
      <x:c r="J63" s="14"/>
    </x:row>
    <x:row r="64">
      <x:c r="A64" s="14"/>
      <x:c r="B64" s="22"/>
      <x:c r="C64" s="14"/>
      <x:c r="D64" s="14"/>
      <x:c r="E64" s="22" t="n">
        <x:f>IF(D64=0,0,B64/D64)</x:f>
        <x:v>0</x:v>
      </x:c>
      <x:c r="F64" s="22" t="n">
        <x:f>D64*Setup!$B$8</x:f>
        <x:v>0</x:v>
      </x:c>
      <x:c r="G64" s="22" t="n">
        <x:f>B64-F64</x:f>
        <x:v>0</x:v>
      </x:c>
      <x:c r="H64" s="28" t="n">
        <x:f>IF(B64=0,0,G64/B64)</x:f>
        <x:v>0</x:v>
      </x:c>
      <x:c r="I64" s="14"/>
      <x:c r="J64" s="14"/>
    </x:row>
    <x:row r="65">
      <x:c r="A65" s="14"/>
      <x:c r="B65" s="22"/>
      <x:c r="C65" s="14"/>
      <x:c r="D65" s="14"/>
      <x:c r="E65" s="22" t="n">
        <x:f>IF(D65=0,0,B65/D65)</x:f>
        <x:v>0</x:v>
      </x:c>
      <x:c r="F65" s="22" t="n">
        <x:f>D65*Setup!$B$8</x:f>
        <x:v>0</x:v>
      </x:c>
      <x:c r="G65" s="22" t="n">
        <x:f>B65-F65</x:f>
        <x:v>0</x:v>
      </x:c>
      <x:c r="H65" s="28" t="n">
        <x:f>IF(B65=0,0,G65/B65)</x:f>
        <x:v>0</x:v>
      </x:c>
      <x:c r="I65" s="14"/>
      <x:c r="J65" s="14"/>
    </x:row>
    <x:row r="66">
      <x:c r="A66" s="14"/>
      <x:c r="B66" s="22"/>
      <x:c r="C66" s="14"/>
      <x:c r="D66" s="14"/>
      <x:c r="E66" s="22" t="n">
        <x:f>IF(D66=0,0,B66/D66)</x:f>
        <x:v>0</x:v>
      </x:c>
      <x:c r="F66" s="22" t="n">
        <x:f>D66*Setup!$B$8</x:f>
        <x:v>0</x:v>
      </x:c>
      <x:c r="G66" s="22" t="n">
        <x:f>B66-F66</x:f>
        <x:v>0</x:v>
      </x:c>
      <x:c r="H66" s="28" t="n">
        <x:f>IF(B66=0,0,G66/B66)</x:f>
        <x:v>0</x:v>
      </x:c>
      <x:c r="I66" s="14"/>
      <x:c r="J66" s="14"/>
    </x:row>
    <x:row r="67">
      <x:c r="A67" s="14"/>
      <x:c r="B67" s="22"/>
      <x:c r="C67" s="14"/>
      <x:c r="D67" s="14"/>
      <x:c r="E67" s="22" t="n">
        <x:f>IF(D67=0,0,B67/D67)</x:f>
        <x:v>0</x:v>
      </x:c>
      <x:c r="F67" s="22" t="n">
        <x:f>D67*Setup!$B$8</x:f>
        <x:v>0</x:v>
      </x:c>
      <x:c r="G67" s="22" t="n">
        <x:f>B67-F67</x:f>
        <x:v>0</x:v>
      </x:c>
      <x:c r="H67" s="28" t="n">
        <x:f>IF(B67=0,0,G67/B67)</x:f>
        <x:v>0</x:v>
      </x:c>
      <x:c r="I67" s="14"/>
      <x:c r="J67" s="14"/>
    </x:row>
    <x:row r="68">
      <x:c r="A68" s="14"/>
      <x:c r="B68" s="22"/>
      <x:c r="C68" s="14"/>
      <x:c r="D68" s="14"/>
      <x:c r="E68" s="22" t="n">
        <x:f>IF(D68=0,0,B68/D68)</x:f>
        <x:v>0</x:v>
      </x:c>
      <x:c r="F68" s="22" t="n">
        <x:f>D68*Setup!$B$8</x:f>
        <x:v>0</x:v>
      </x:c>
      <x:c r="G68" s="22" t="n">
        <x:f>B68-F68</x:f>
        <x:v>0</x:v>
      </x:c>
      <x:c r="H68" s="28" t="n">
        <x:f>IF(B68=0,0,G68/B68)</x:f>
        <x:v>0</x:v>
      </x:c>
      <x:c r="I68" s="14"/>
      <x:c r="J68" s="14"/>
    </x:row>
    <x:row r="69">
      <x:c r="A69" s="14"/>
      <x:c r="B69" s="22"/>
      <x:c r="C69" s="14"/>
      <x:c r="D69" s="14"/>
      <x:c r="E69" s="22" t="n">
        <x:f>IF(D69=0,0,B69/D69)</x:f>
        <x:v>0</x:v>
      </x:c>
      <x:c r="F69" s="22" t="n">
        <x:f>D69*Setup!$B$8</x:f>
        <x:v>0</x:v>
      </x:c>
      <x:c r="G69" s="22" t="n">
        <x:f>B69-F69</x:f>
        <x:v>0</x:v>
      </x:c>
      <x:c r="H69" s="28" t="n">
        <x:f>IF(B69=0,0,G69/B69)</x:f>
        <x:v>0</x:v>
      </x:c>
      <x:c r="I69" s="14"/>
      <x:c r="J69" s="14"/>
    </x:row>
    <x:row r="70">
      <x:c r="A70" s="14"/>
      <x:c r="B70" s="22"/>
      <x:c r="C70" s="14"/>
      <x:c r="D70" s="14"/>
      <x:c r="E70" s="22" t="n">
        <x:f>IF(D70=0,0,B70/D70)</x:f>
        <x:v>0</x:v>
      </x:c>
      <x:c r="F70" s="22" t="n">
        <x:f>D70*Setup!$B$8</x:f>
        <x:v>0</x:v>
      </x:c>
      <x:c r="G70" s="22" t="n">
        <x:f>B70-F70</x:f>
        <x:v>0</x:v>
      </x:c>
      <x:c r="H70" s="28" t="n">
        <x:f>IF(B70=0,0,G70/B70)</x:f>
        <x:v>0</x:v>
      </x:c>
      <x:c r="I70" s="14"/>
      <x:c r="J70" s="14"/>
    </x:row>
    <x:row r="71">
      <x:c r="A71" s="14"/>
      <x:c r="B71" s="22"/>
      <x:c r="C71" s="14"/>
      <x:c r="D71" s="14"/>
      <x:c r="E71" s="22" t="n">
        <x:f>IF(D71=0,0,B71/D71)</x:f>
        <x:v>0</x:v>
      </x:c>
      <x:c r="F71" s="22" t="n">
        <x:f>D71*Setup!$B$8</x:f>
        <x:v>0</x:v>
      </x:c>
      <x:c r="G71" s="22" t="n">
        <x:f>B71-F71</x:f>
        <x:v>0</x:v>
      </x:c>
      <x:c r="H71" s="28" t="n">
        <x:f>IF(B71=0,0,G71/B71)</x:f>
        <x:v>0</x:v>
      </x:c>
      <x:c r="I71" s="14"/>
      <x:c r="J71" s="14"/>
    </x:row>
    <x:row r="72">
      <x:c r="A72" s="14"/>
      <x:c r="B72" s="22"/>
      <x:c r="C72" s="14"/>
      <x:c r="D72" s="14"/>
      <x:c r="E72" s="22" t="n">
        <x:f>IF(D72=0,0,B72/D72)</x:f>
        <x:v>0</x:v>
      </x:c>
      <x:c r="F72" s="22" t="n">
        <x:f>D72*Setup!$B$8</x:f>
        <x:v>0</x:v>
      </x:c>
      <x:c r="G72" s="22" t="n">
        <x:f>B72-F72</x:f>
        <x:v>0</x:v>
      </x:c>
      <x:c r="H72" s="28" t="n">
        <x:f>IF(B72=0,0,G72/B72)</x:f>
        <x:v>0</x:v>
      </x:c>
      <x:c r="I72" s="14"/>
      <x:c r="J72" s="14"/>
    </x:row>
    <x:row r="73">
      <x:c r="A73" s="14"/>
      <x:c r="B73" s="22"/>
      <x:c r="C73" s="14"/>
      <x:c r="D73" s="14"/>
      <x:c r="E73" s="22" t="n">
        <x:f>IF(D73=0,0,B73/D73)</x:f>
        <x:v>0</x:v>
      </x:c>
      <x:c r="F73" s="22" t="n">
        <x:f>D73*Setup!$B$8</x:f>
        <x:v>0</x:v>
      </x:c>
      <x:c r="G73" s="22" t="n">
        <x:f>B73-F73</x:f>
        <x:v>0</x:v>
      </x:c>
      <x:c r="H73" s="28" t="n">
        <x:f>IF(B73=0,0,G73/B73)</x:f>
        <x:v>0</x:v>
      </x:c>
      <x:c r="I73" s="14"/>
      <x:c r="J73" s="14"/>
    </x:row>
    <x:row r="74">
      <x:c r="A74" s="14"/>
      <x:c r="B74" s="22"/>
      <x:c r="C74" s="14"/>
      <x:c r="D74" s="14"/>
      <x:c r="E74" s="22" t="n">
        <x:f>IF(D74=0,0,B74/D74)</x:f>
        <x:v>0</x:v>
      </x:c>
      <x:c r="F74" s="22" t="n">
        <x:f>D74*Setup!$B$8</x:f>
        <x:v>0</x:v>
      </x:c>
      <x:c r="G74" s="22" t="n">
        <x:f>B74-F74</x:f>
        <x:v>0</x:v>
      </x:c>
      <x:c r="H74" s="28" t="n">
        <x:f>IF(B74=0,0,G74/B74)</x:f>
        <x:v>0</x:v>
      </x:c>
      <x:c r="I74" s="14"/>
      <x:c r="J74" s="14"/>
    </x:row>
    <x:row r="75">
      <x:c r="A75" s="14"/>
      <x:c r="B75" s="22"/>
      <x:c r="C75" s="14"/>
      <x:c r="D75" s="14"/>
      <x:c r="E75" s="22" t="n">
        <x:f>IF(D75=0,0,B75/D75)</x:f>
        <x:v>0</x:v>
      </x:c>
      <x:c r="F75" s="22" t="n">
        <x:f>D75*Setup!$B$8</x:f>
        <x:v>0</x:v>
      </x:c>
      <x:c r="G75" s="22" t="n">
        <x:f>B75-F75</x:f>
        <x:v>0</x:v>
      </x:c>
      <x:c r="H75" s="28" t="n">
        <x:f>IF(B75=0,0,G75/B75)</x:f>
        <x:v>0</x:v>
      </x:c>
      <x:c r="I75" s="14"/>
      <x:c r="J75" s="14"/>
    </x:row>
    <x:row r="76">
      <x:c r="A76" s="14"/>
      <x:c r="B76" s="22"/>
      <x:c r="C76" s="14"/>
      <x:c r="D76" s="14"/>
      <x:c r="E76" s="22" t="n">
        <x:f>IF(D76=0,0,B76/D76)</x:f>
        <x:v>0</x:v>
      </x:c>
      <x:c r="F76" s="22" t="n">
        <x:f>D76*Setup!$B$8</x:f>
        <x:v>0</x:v>
      </x:c>
      <x:c r="G76" s="22" t="n">
        <x:f>B76-F76</x:f>
        <x:v>0</x:v>
      </x:c>
      <x:c r="H76" s="28" t="n">
        <x:f>IF(B76=0,0,G76/B76)</x:f>
        <x:v>0</x:v>
      </x:c>
      <x:c r="I76" s="14"/>
      <x:c r="J76" s="14"/>
    </x:row>
    <x:row r="77">
      <x:c r="A77" s="14"/>
      <x:c r="B77" s="22"/>
      <x:c r="C77" s="14"/>
      <x:c r="D77" s="14"/>
      <x:c r="E77" s="22" t="n">
        <x:f>IF(D77=0,0,B77/D77)</x:f>
        <x:v>0</x:v>
      </x:c>
      <x:c r="F77" s="22" t="n">
        <x:f>D77*Setup!$B$8</x:f>
        <x:v>0</x:v>
      </x:c>
      <x:c r="G77" s="22" t="n">
        <x:f>B77-F77</x:f>
        <x:v>0</x:v>
      </x:c>
      <x:c r="H77" s="28" t="n">
        <x:f>IF(B77=0,0,G77/B77)</x:f>
        <x:v>0</x:v>
      </x:c>
      <x:c r="I77" s="14"/>
      <x:c r="J77" s="14"/>
    </x:row>
    <x:row r="78">
      <x:c r="A78" s="14"/>
      <x:c r="B78" s="22"/>
      <x:c r="C78" s="14"/>
      <x:c r="D78" s="14"/>
      <x:c r="E78" s="22" t="n">
        <x:f>IF(D78=0,0,B78/D78)</x:f>
        <x:v>0</x:v>
      </x:c>
      <x:c r="F78" s="22" t="n">
        <x:f>D78*Setup!$B$8</x:f>
        <x:v>0</x:v>
      </x:c>
      <x:c r="G78" s="22" t="n">
        <x:f>B78-F78</x:f>
        <x:v>0</x:v>
      </x:c>
      <x:c r="H78" s="28" t="n">
        <x:f>IF(B78=0,0,G78/B78)</x:f>
        <x:v>0</x:v>
      </x:c>
      <x:c r="I78" s="14"/>
      <x:c r="J78" s="14"/>
    </x:row>
    <x:row r="79">
      <x:c r="A79" s="14"/>
      <x:c r="B79" s="22"/>
      <x:c r="C79" s="14"/>
      <x:c r="D79" s="14"/>
      <x:c r="E79" s="22" t="n">
        <x:f>IF(D79=0,0,B79/D79)</x:f>
        <x:v>0</x:v>
      </x:c>
      <x:c r="F79" s="22" t="n">
        <x:f>D79*Setup!$B$8</x:f>
        <x:v>0</x:v>
      </x:c>
      <x:c r="G79" s="22" t="n">
        <x:f>B79-F79</x:f>
        <x:v>0</x:v>
      </x:c>
      <x:c r="H79" s="28" t="n">
        <x:f>IF(B79=0,0,G79/B79)</x:f>
        <x:v>0</x:v>
      </x:c>
      <x:c r="I79" s="14"/>
      <x:c r="J79" s="14"/>
    </x:row>
    <x:row r="80">
      <x:c r="A80" s="14"/>
      <x:c r="B80" s="22"/>
      <x:c r="C80" s="14"/>
      <x:c r="D80" s="14"/>
      <x:c r="E80" s="22" t="n">
        <x:f>IF(D80=0,0,B80/D80)</x:f>
        <x:v>0</x:v>
      </x:c>
      <x:c r="F80" s="22" t="n">
        <x:f>D80*Setup!$B$8</x:f>
        <x:v>0</x:v>
      </x:c>
      <x:c r="G80" s="22" t="n">
        <x:f>B80-F80</x:f>
        <x:v>0</x:v>
      </x:c>
      <x:c r="H80" s="28" t="n">
        <x:f>IF(B80=0,0,G80/B80)</x:f>
        <x:v>0</x:v>
      </x:c>
      <x:c r="I80" s="14"/>
      <x:c r="J80" s="14"/>
    </x:row>
    <x:row r="81">
      <x:c r="A81" s="14"/>
      <x:c r="B81" s="22"/>
      <x:c r="C81" s="14"/>
      <x:c r="D81" s="14"/>
      <x:c r="E81" s="22" t="n">
        <x:f>IF(D81=0,0,B81/D81)</x:f>
        <x:v>0</x:v>
      </x:c>
      <x:c r="F81" s="22" t="n">
        <x:f>D81*Setup!$B$8</x:f>
        <x:v>0</x:v>
      </x:c>
      <x:c r="G81" s="22" t="n">
        <x:f>B81-F81</x:f>
        <x:v>0</x:v>
      </x:c>
      <x:c r="H81" s="28" t="n">
        <x:f>IF(B81=0,0,G81/B81)</x:f>
        <x:v>0</x:v>
      </x:c>
      <x:c r="I81" s="14"/>
      <x:c r="J81" s="14"/>
    </x:row>
    <x:row r="82">
      <x:c r="A82" s="14"/>
      <x:c r="B82" s="22"/>
      <x:c r="C82" s="14"/>
      <x:c r="D82" s="14"/>
      <x:c r="E82" s="22" t="n">
        <x:f>IF(D82=0,0,B82/D82)</x:f>
        <x:v>0</x:v>
      </x:c>
      <x:c r="F82" s="22" t="n">
        <x:f>D82*Setup!$B$8</x:f>
        <x:v>0</x:v>
      </x:c>
      <x:c r="G82" s="22" t="n">
        <x:f>B82-F82</x:f>
        <x:v>0</x:v>
      </x:c>
      <x:c r="H82" s="28" t="n">
        <x:f>IF(B82=0,0,G82/B82)</x:f>
        <x:v>0</x:v>
      </x:c>
      <x:c r="I82" s="14"/>
      <x:c r="J82" s="14"/>
    </x:row>
    <x:row r="83">
      <x:c r="A83" s="14"/>
      <x:c r="B83" s="22"/>
      <x:c r="C83" s="14"/>
      <x:c r="D83" s="14"/>
      <x:c r="E83" s="22" t="n">
        <x:f>IF(D83=0,0,B83/D83)</x:f>
        <x:v>0</x:v>
      </x:c>
      <x:c r="F83" s="22" t="n">
        <x:f>D83*Setup!$B$8</x:f>
        <x:v>0</x:v>
      </x:c>
      <x:c r="G83" s="22" t="n">
        <x:f>B83-F83</x:f>
        <x:v>0</x:v>
      </x:c>
      <x:c r="H83" s="28" t="n">
        <x:f>IF(B83=0,0,G83/B83)</x:f>
        <x:v>0</x:v>
      </x:c>
      <x:c r="I83" s="14"/>
      <x:c r="J83" s="14"/>
    </x:row>
    <x:row r="84">
      <x:c r="A84" s="14"/>
      <x:c r="B84" s="22"/>
      <x:c r="C84" s="14"/>
      <x:c r="D84" s="14"/>
      <x:c r="E84" s="22" t="n">
        <x:f>IF(D84=0,0,B84/D84)</x:f>
        <x:v>0</x:v>
      </x:c>
      <x:c r="F84" s="22" t="n">
        <x:f>D84*Setup!$B$8</x:f>
        <x:v>0</x:v>
      </x:c>
      <x:c r="G84" s="22" t="n">
        <x:f>B84-F84</x:f>
        <x:v>0</x:v>
      </x:c>
      <x:c r="H84" s="28" t="n">
        <x:f>IF(B84=0,0,G84/B84)</x:f>
        <x:v>0</x:v>
      </x:c>
      <x:c r="I84" s="14"/>
      <x:c r="J84" s="14"/>
    </x:row>
    <x:row r="85">
      <x:c r="A85" s="14"/>
      <x:c r="B85" s="22"/>
      <x:c r="C85" s="14"/>
      <x:c r="D85" s="14"/>
      <x:c r="E85" s="22" t="n">
        <x:f>IF(D85=0,0,B85/D85)</x:f>
        <x:v>0</x:v>
      </x:c>
      <x:c r="F85" s="22" t="n">
        <x:f>D85*Setup!$B$8</x:f>
        <x:v>0</x:v>
      </x:c>
      <x:c r="G85" s="22" t="n">
        <x:f>B85-F85</x:f>
        <x:v>0</x:v>
      </x:c>
      <x:c r="H85" s="28" t="n">
        <x:f>IF(B85=0,0,G85/B85)</x:f>
        <x:v>0</x:v>
      </x:c>
      <x:c r="I85" s="14"/>
      <x:c r="J85" s="14"/>
    </x:row>
    <x:row r="86">
      <x:c r="A86" s="14"/>
      <x:c r="B86" s="22"/>
      <x:c r="C86" s="14"/>
      <x:c r="D86" s="14"/>
      <x:c r="E86" s="22" t="n">
        <x:f>IF(D86=0,0,B86/D86)</x:f>
        <x:v>0</x:v>
      </x:c>
      <x:c r="F86" s="22" t="n">
        <x:f>D86*Setup!$B$8</x:f>
        <x:v>0</x:v>
      </x:c>
      <x:c r="G86" s="22" t="n">
        <x:f>B86-F86</x:f>
        <x:v>0</x:v>
      </x:c>
      <x:c r="H86" s="28" t="n">
        <x:f>IF(B86=0,0,G86/B86)</x:f>
        <x:v>0</x:v>
      </x:c>
      <x:c r="I86" s="14"/>
      <x:c r="J86" s="14"/>
    </x:row>
    <x:row r="87">
      <x:c r="A87" s="14"/>
      <x:c r="B87" s="22"/>
      <x:c r="C87" s="14"/>
      <x:c r="D87" s="14"/>
      <x:c r="E87" s="22" t="n">
        <x:f>IF(D87=0,0,B87/D87)</x:f>
        <x:v>0</x:v>
      </x:c>
      <x:c r="F87" s="22" t="n">
        <x:f>D87*Setup!$B$8</x:f>
        <x:v>0</x:v>
      </x:c>
      <x:c r="G87" s="22" t="n">
        <x:f>B87-F87</x:f>
        <x:v>0</x:v>
      </x:c>
      <x:c r="H87" s="28" t="n">
        <x:f>IF(B87=0,0,G87/B87)</x:f>
        <x:v>0</x:v>
      </x:c>
      <x:c r="I87" s="14"/>
      <x:c r="J87" s="14"/>
    </x:row>
    <x:row r="88">
      <x:c r="A88" s="14"/>
      <x:c r="B88" s="22"/>
      <x:c r="C88" s="14"/>
      <x:c r="D88" s="14"/>
      <x:c r="E88" s="22" t="n">
        <x:f>IF(D88=0,0,B88/D88)</x:f>
        <x:v>0</x:v>
      </x:c>
      <x:c r="F88" s="22" t="n">
        <x:f>D88*Setup!$B$8</x:f>
        <x:v>0</x:v>
      </x:c>
      <x:c r="G88" s="22" t="n">
        <x:f>B88-F88</x:f>
        <x:v>0</x:v>
      </x:c>
      <x:c r="H88" s="28" t="n">
        <x:f>IF(B88=0,0,G88/B88)</x:f>
        <x:v>0</x:v>
      </x:c>
      <x:c r="I88" s="14"/>
      <x:c r="J88" s="14"/>
    </x:row>
    <x:row r="89">
      <x:c r="A89" s="14"/>
      <x:c r="B89" s="22"/>
      <x:c r="C89" s="14"/>
      <x:c r="D89" s="14"/>
      <x:c r="E89" s="22" t="n">
        <x:f>IF(D89=0,0,B89/D89)</x:f>
        <x:v>0</x:v>
      </x:c>
      <x:c r="F89" s="22" t="n">
        <x:f>D89*Setup!$B$8</x:f>
        <x:v>0</x:v>
      </x:c>
      <x:c r="G89" s="22" t="n">
        <x:f>B89-F89</x:f>
        <x:v>0</x:v>
      </x:c>
      <x:c r="H89" s="28" t="n">
        <x:f>IF(B89=0,0,G89/B89)</x:f>
        <x:v>0</x:v>
      </x:c>
      <x:c r="I89" s="14"/>
      <x:c r="J89" s="14"/>
    </x:row>
    <x:row r="90">
      <x:c r="A90" s="14"/>
      <x:c r="B90" s="22"/>
      <x:c r="C90" s="14"/>
      <x:c r="D90" s="14"/>
      <x:c r="E90" s="22" t="n">
        <x:f>IF(D90=0,0,B90/D90)</x:f>
        <x:v>0</x:v>
      </x:c>
      <x:c r="F90" s="22" t="n">
        <x:f>D90*Setup!$B$8</x:f>
        <x:v>0</x:v>
      </x:c>
      <x:c r="G90" s="22" t="n">
        <x:f>B90-F90</x:f>
        <x:v>0</x:v>
      </x:c>
      <x:c r="H90" s="28" t="n">
        <x:f>IF(B90=0,0,G90/B90)</x:f>
        <x:v>0</x:v>
      </x:c>
      <x:c r="I90" s="14"/>
      <x:c r="J90" s="14"/>
    </x:row>
    <x:row r="91">
      <x:c r="A91" s="14"/>
      <x:c r="B91" s="22"/>
      <x:c r="C91" s="14"/>
      <x:c r="D91" s="14"/>
      <x:c r="E91" s="22" t="n">
        <x:f>IF(D91=0,0,B91/D91)</x:f>
        <x:v>0</x:v>
      </x:c>
      <x:c r="F91" s="22" t="n">
        <x:f>D91*Setup!$B$8</x:f>
        <x:v>0</x:v>
      </x:c>
      <x:c r="G91" s="22" t="n">
        <x:f>B91-F91</x:f>
        <x:v>0</x:v>
      </x:c>
      <x:c r="H91" s="28" t="n">
        <x:f>IF(B91=0,0,G91/B91)</x:f>
        <x:v>0</x:v>
      </x:c>
      <x:c r="I91" s="14"/>
      <x:c r="J91" s="14"/>
    </x:row>
    <x:row r="92">
      <x:c r="A92" s="14"/>
      <x:c r="B92" s="22"/>
      <x:c r="C92" s="14"/>
      <x:c r="D92" s="14"/>
      <x:c r="E92" s="22" t="n">
        <x:f>IF(D92=0,0,B92/D92)</x:f>
        <x:v>0</x:v>
      </x:c>
      <x:c r="F92" s="22" t="n">
        <x:f>D92*Setup!$B$8</x:f>
        <x:v>0</x:v>
      </x:c>
      <x:c r="G92" s="22" t="n">
        <x:f>B92-F92</x:f>
        <x:v>0</x:v>
      </x:c>
      <x:c r="H92" s="28" t="n">
        <x:f>IF(B92=0,0,G92/B92)</x:f>
        <x:v>0</x:v>
      </x:c>
      <x:c r="I92" s="14"/>
      <x:c r="J92" s="14"/>
    </x:row>
    <x:row r="93">
      <x:c r="A93" s="14"/>
      <x:c r="B93" s="22"/>
      <x:c r="C93" s="14"/>
      <x:c r="D93" s="14"/>
      <x:c r="E93" s="22" t="n">
        <x:f>IF(D93=0,0,B93/D93)</x:f>
        <x:v>0</x:v>
      </x:c>
      <x:c r="F93" s="22" t="n">
        <x:f>D93*Setup!$B$8</x:f>
        <x:v>0</x:v>
      </x:c>
      <x:c r="G93" s="22" t="n">
        <x:f>B93-F93</x:f>
        <x:v>0</x:v>
      </x:c>
      <x:c r="H93" s="28" t="n">
        <x:f>IF(B93=0,0,G93/B93)</x:f>
        <x:v>0</x:v>
      </x:c>
      <x:c r="I93" s="14"/>
      <x:c r="J93" s="14"/>
    </x:row>
    <x:row r="94">
      <x:c r="A94" s="14"/>
      <x:c r="B94" s="22"/>
      <x:c r="C94" s="14"/>
      <x:c r="D94" s="14"/>
      <x:c r="E94" s="22" t="n">
        <x:f>IF(D94=0,0,B94/D94)</x:f>
        <x:v>0</x:v>
      </x:c>
      <x:c r="F94" s="22" t="n">
        <x:f>D94*Setup!$B$8</x:f>
        <x:v>0</x:v>
      </x:c>
      <x:c r="G94" s="22" t="n">
        <x:f>B94-F94</x:f>
        <x:v>0</x:v>
      </x:c>
      <x:c r="H94" s="28" t="n">
        <x:f>IF(B94=0,0,G94/B94)</x:f>
        <x:v>0</x:v>
      </x:c>
      <x:c r="I94" s="14"/>
      <x:c r="J94" s="14"/>
    </x:row>
    <x:row r="95">
      <x:c r="A95" s="14"/>
      <x:c r="B95" s="22"/>
      <x:c r="C95" s="14"/>
      <x:c r="D95" s="14"/>
      <x:c r="E95" s="22" t="n">
        <x:f>IF(D95=0,0,B95/D95)</x:f>
        <x:v>0</x:v>
      </x:c>
      <x:c r="F95" s="22" t="n">
        <x:f>D95*Setup!$B$8</x:f>
        <x:v>0</x:v>
      </x:c>
      <x:c r="G95" s="22" t="n">
        <x:f>B95-F95</x:f>
        <x:v>0</x:v>
      </x:c>
      <x:c r="H95" s="28" t="n">
        <x:f>IF(B95=0,0,G95/B95)</x:f>
        <x:v>0</x:v>
      </x:c>
      <x:c r="I95" s="14"/>
      <x:c r="J95" s="14"/>
    </x:row>
    <x:row r="96">
      <x:c r="A96" s="14"/>
      <x:c r="B96" s="22"/>
      <x:c r="C96" s="14"/>
      <x:c r="D96" s="14"/>
      <x:c r="E96" s="22" t="n">
        <x:f>IF(D96=0,0,B96/D96)</x:f>
        <x:v>0</x:v>
      </x:c>
      <x:c r="F96" s="22" t="n">
        <x:f>D96*Setup!$B$8</x:f>
        <x:v>0</x:v>
      </x:c>
      <x:c r="G96" s="22" t="n">
        <x:f>B96-F96</x:f>
        <x:v>0</x:v>
      </x:c>
      <x:c r="H96" s="28" t="n">
        <x:f>IF(B96=0,0,G96/B96)</x:f>
        <x:v>0</x:v>
      </x:c>
      <x:c r="I96" s="14"/>
      <x:c r="J96" s="14"/>
    </x:row>
    <x:row r="97">
      <x:c r="A97" s="14"/>
      <x:c r="B97" s="22"/>
      <x:c r="C97" s="14"/>
      <x:c r="D97" s="14"/>
      <x:c r="E97" s="22" t="n">
        <x:f>IF(D97=0,0,B97/D97)</x:f>
        <x:v>0</x:v>
      </x:c>
      <x:c r="F97" s="22" t="n">
        <x:f>D97*Setup!$B$8</x:f>
        <x:v>0</x:v>
      </x:c>
      <x:c r="G97" s="22" t="n">
        <x:f>B97-F97</x:f>
        <x:v>0</x:v>
      </x:c>
      <x:c r="H97" s="28" t="n">
        <x:f>IF(B97=0,0,G97/B97)</x:f>
        <x:v>0</x:v>
      </x:c>
      <x:c r="I97" s="14"/>
      <x:c r="J97" s="14"/>
    </x:row>
    <x:row r="98">
      <x:c r="A98" s="14"/>
      <x:c r="B98" s="22"/>
      <x:c r="C98" s="14"/>
      <x:c r="D98" s="14"/>
      <x:c r="E98" s="22" t="n">
        <x:f>IF(D98=0,0,B98/D98)</x:f>
        <x:v>0</x:v>
      </x:c>
      <x:c r="F98" s="22" t="n">
        <x:f>D98*Setup!$B$8</x:f>
        <x:v>0</x:v>
      </x:c>
      <x:c r="G98" s="22" t="n">
        <x:f>B98-F98</x:f>
        <x:v>0</x:v>
      </x:c>
      <x:c r="H98" s="28" t="n">
        <x:f>IF(B98=0,0,G98/B98)</x:f>
        <x:v>0</x:v>
      </x:c>
      <x:c r="I98" s="14"/>
      <x:c r="J98" s="14"/>
    </x:row>
    <x:row r="99">
      <x:c r="A99" s="14"/>
      <x:c r="B99" s="22"/>
      <x:c r="C99" s="14"/>
      <x:c r="D99" s="14"/>
      <x:c r="E99" s="22" t="n">
        <x:f>IF(D99=0,0,B99/D99)</x:f>
        <x:v>0</x:v>
      </x:c>
      <x:c r="F99" s="22" t="n">
        <x:f>D99*Setup!$B$8</x:f>
        <x:v>0</x:v>
      </x:c>
      <x:c r="G99" s="22" t="n">
        <x:f>B99-F99</x:f>
        <x:v>0</x:v>
      </x:c>
      <x:c r="H99" s="28" t="n">
        <x:f>IF(B99=0,0,G99/B99)</x:f>
        <x:v>0</x:v>
      </x:c>
      <x:c r="I99" s="14"/>
      <x:c r="J99" s="14"/>
    </x:row>
    <x:row r="100">
      <x:c r="A100" s="14"/>
      <x:c r="B100" s="22"/>
      <x:c r="C100" s="14"/>
      <x:c r="D100" s="14"/>
      <x:c r="E100" s="22" t="n">
        <x:f>IF(D100=0,0,B100/D100)</x:f>
        <x:v>0</x:v>
      </x:c>
      <x:c r="F100" s="22" t="n">
        <x:f>D100*Setup!$B$8</x:f>
        <x:v>0</x:v>
      </x:c>
      <x:c r="G100" s="22" t="n">
        <x:f>B100-F100</x:f>
        <x:v>0</x:v>
      </x:c>
      <x:c r="H100" s="28" t="n">
        <x:f>IF(B100=0,0,G100/B100)</x:f>
        <x:v>0</x:v>
      </x:c>
      <x:c r="I100" s="14"/>
      <x:c r="J100" s="14"/>
    </x:row>
    <x:row r="101">
      <x:c r="A101" s="14"/>
      <x:c r="B101" s="22"/>
      <x:c r="C101" s="14"/>
      <x:c r="D101" s="14"/>
      <x:c r="E101" s="22" t="n">
        <x:f>IF(D101=0,0,B101/D101)</x:f>
        <x:v>0</x:v>
      </x:c>
      <x:c r="F101" s="22" t="n">
        <x:f>D101*Setup!$B$8</x:f>
        <x:v>0</x:v>
      </x:c>
      <x:c r="G101" s="22" t="n">
        <x:f>B101-F101</x:f>
        <x:v>0</x:v>
      </x:c>
      <x:c r="H101" s="28" t="n">
        <x:f>IF(B101=0,0,G101/B101)</x:f>
        <x:v>0</x:v>
      </x:c>
      <x:c r="I101" s="14"/>
      <x:c r="J101" s="14"/>
    </x:row>
    <x:row r="102">
      <x:c r="A102" s="14"/>
      <x:c r="B102" s="22"/>
      <x:c r="C102" s="14"/>
      <x:c r="D102" s="14"/>
      <x:c r="E102" s="22" t="n">
        <x:f>IF(D102=0,0,B102/D102)</x:f>
        <x:v>0</x:v>
      </x:c>
      <x:c r="F102" s="22" t="n">
        <x:f>D102*Setup!$B$8</x:f>
        <x:v>0</x:v>
      </x:c>
      <x:c r="G102" s="22" t="n">
        <x:f>B102-F102</x:f>
        <x:v>0</x:v>
      </x:c>
      <x:c r="H102" s="28" t="n">
        <x:f>IF(B102=0,0,G102/B102)</x:f>
        <x:v>0</x:v>
      </x:c>
      <x:c r="I102" s="14"/>
      <x:c r="J102" s="14"/>
    </x:row>
    <x:row r="103">
      <x:c r="A103" s="14"/>
      <x:c r="B103" s="22"/>
      <x:c r="C103" s="14"/>
      <x:c r="D103" s="14"/>
      <x:c r="E103" s="22" t="n">
        <x:f>IF(D103=0,0,B103/D103)</x:f>
        <x:v>0</x:v>
      </x:c>
      <x:c r="F103" s="22" t="n">
        <x:f>D103*Setup!$B$8</x:f>
        <x:v>0</x:v>
      </x:c>
      <x:c r="G103" s="22" t="n">
        <x:f>B103-F103</x:f>
        <x:v>0</x:v>
      </x:c>
      <x:c r="H103" s="28" t="n">
        <x:f>IF(B103=0,0,G103/B103)</x:f>
        <x:v>0</x:v>
      </x:c>
      <x:c r="I103" s="14"/>
      <x:c r="J103" s="14"/>
    </x:row>
    <x:row r="104">
      <x:c r="A104" s="14"/>
      <x:c r="B104" s="22"/>
      <x:c r="C104" s="14"/>
      <x:c r="D104" s="14"/>
      <x:c r="E104" s="22" t="n">
        <x:f>IF(D104=0,0,B104/D104)</x:f>
        <x:v>0</x:v>
      </x:c>
      <x:c r="F104" s="22" t="n">
        <x:f>D104*Setup!$B$8</x:f>
        <x:v>0</x:v>
      </x:c>
      <x:c r="G104" s="22" t="n">
        <x:f>B104-F104</x:f>
        <x:v>0</x:v>
      </x:c>
      <x:c r="H104" s="28" t="n">
        <x:f>IF(B104=0,0,G104/B104)</x:f>
        <x:v>0</x:v>
      </x:c>
      <x:c r="I104" s="14"/>
      <x:c r="J104" s="14"/>
    </x:row>
    <x:row r="105">
      <x:c r="A105" s="14"/>
      <x:c r="B105" s="22"/>
      <x:c r="C105" s="14"/>
      <x:c r="D105" s="14"/>
      <x:c r="E105" s="22" t="n">
        <x:f>IF(D105=0,0,B105/D105)</x:f>
        <x:v>0</x:v>
      </x:c>
      <x:c r="F105" s="22" t="n">
        <x:f>D105*Setup!$B$8</x:f>
        <x:v>0</x:v>
      </x:c>
      <x:c r="G105" s="22" t="n">
        <x:f>B105-F105</x:f>
        <x:v>0</x:v>
      </x:c>
      <x:c r="H105" s="28" t="n">
        <x:f>IF(B105=0,0,G105/B105)</x:f>
        <x:v>0</x:v>
      </x:c>
      <x:c r="I105" s="14"/>
      <x:c r="J105" s="14"/>
    </x:row>
    <x:row r="106">
      <x:c r="A106" s="14"/>
      <x:c r="B106" s="22"/>
      <x:c r="C106" s="14"/>
      <x:c r="D106" s="14"/>
      <x:c r="E106" s="22" t="n">
        <x:f>IF(D106=0,0,B106/D106)</x:f>
        <x:v>0</x:v>
      </x:c>
      <x:c r="F106" s="22" t="n">
        <x:f>D106*Setup!$B$8</x:f>
        <x:v>0</x:v>
      </x:c>
      <x:c r="G106" s="22" t="n">
        <x:f>B106-F106</x:f>
        <x:v>0</x:v>
      </x:c>
      <x:c r="H106" s="28" t="n">
        <x:f>IF(B106=0,0,G106/B106)</x:f>
        <x:v>0</x:v>
      </x:c>
      <x:c r="I106" s="14"/>
      <x:c r="J106" s="14"/>
    </x:row>
    <x:row r="107">
      <x:c r="A107" s="14"/>
      <x:c r="B107" s="22"/>
      <x:c r="C107" s="14"/>
      <x:c r="D107" s="14"/>
      <x:c r="E107" s="22" t="n">
        <x:f>IF(D107=0,0,B107/D107)</x:f>
        <x:v>0</x:v>
      </x:c>
      <x:c r="F107" s="22" t="n">
        <x:f>D107*Setup!$B$8</x:f>
        <x:v>0</x:v>
      </x:c>
      <x:c r="G107" s="22" t="n">
        <x:f>B107-F107</x:f>
        <x:v>0</x:v>
      </x:c>
      <x:c r="H107" s="28" t="n">
        <x:f>IF(B107=0,0,G107/B107)</x:f>
        <x:v>0</x:v>
      </x:c>
      <x:c r="I107" s="14"/>
      <x:c r="J107" s="14"/>
    </x:row>
    <x:row r="108">
      <x:c r="A108" s="14"/>
      <x:c r="B108" s="22"/>
      <x:c r="C108" s="14"/>
      <x:c r="D108" s="14"/>
      <x:c r="E108" s="22" t="n">
        <x:f>IF(D108=0,0,B108/D108)</x:f>
        <x:v>0</x:v>
      </x:c>
      <x:c r="F108" s="22" t="n">
        <x:f>D108*Setup!$B$8</x:f>
        <x:v>0</x:v>
      </x:c>
      <x:c r="G108" s="22" t="n">
        <x:f>B108-F108</x:f>
        <x:v>0</x:v>
      </x:c>
      <x:c r="H108" s="28" t="n">
        <x:f>IF(B108=0,0,G108/B108)</x:f>
        <x:v>0</x:v>
      </x:c>
      <x:c r="I108" s="14"/>
      <x:c r="J108" s="14"/>
    </x:row>
    <x:row r="109">
      <x:c r="A109" s="14"/>
      <x:c r="B109" s="22"/>
      <x:c r="C109" s="14"/>
      <x:c r="D109" s="14"/>
      <x:c r="E109" s="22" t="n">
        <x:f>IF(D109=0,0,B109/D109)</x:f>
        <x:v>0</x:v>
      </x:c>
      <x:c r="F109" s="22" t="n">
        <x:f>D109*Setup!$B$8</x:f>
        <x:v>0</x:v>
      </x:c>
      <x:c r="G109" s="22" t="n">
        <x:f>B109-F109</x:f>
        <x:v>0</x:v>
      </x:c>
      <x:c r="H109" s="28" t="n">
        <x:f>IF(B109=0,0,G109/B109)</x:f>
        <x:v>0</x:v>
      </x:c>
      <x:c r="I109" s="14"/>
      <x:c r="J109" s="14"/>
    </x:row>
    <x:row r="110">
      <x:c r="A110" s="14"/>
      <x:c r="B110" s="22"/>
      <x:c r="C110" s="14"/>
      <x:c r="D110" s="14"/>
      <x:c r="E110" s="22" t="n">
        <x:f>IF(D110=0,0,B110/D110)</x:f>
        <x:v>0</x:v>
      </x:c>
      <x:c r="F110" s="22" t="n">
        <x:f>D110*Setup!$B$8</x:f>
        <x:v>0</x:v>
      </x:c>
      <x:c r="G110" s="22" t="n">
        <x:f>B110-F110</x:f>
        <x:v>0</x:v>
      </x:c>
      <x:c r="H110" s="28" t="n">
        <x:f>IF(B110=0,0,G110/B110)</x:f>
        <x:v>0</x:v>
      </x:c>
      <x:c r="I110" s="14"/>
      <x:c r="J110" s="14"/>
    </x:row>
    <x:row r="111">
      <x:c r="A111" s="14"/>
      <x:c r="B111" s="22"/>
      <x:c r="C111" s="14"/>
      <x:c r="D111" s="14"/>
      <x:c r="E111" s="22" t="n">
        <x:f>IF(D111=0,0,B111/D111)</x:f>
        <x:v>0</x:v>
      </x:c>
      <x:c r="F111" s="22" t="n">
        <x:f>D111*Setup!$B$8</x:f>
        <x:v>0</x:v>
      </x:c>
      <x:c r="G111" s="22" t="n">
        <x:f>B111-F111</x:f>
        <x:v>0</x:v>
      </x:c>
      <x:c r="H111" s="28" t="n">
        <x:f>IF(B111=0,0,G111/B111)</x:f>
        <x:v>0</x:v>
      </x:c>
      <x:c r="I111" s="14"/>
      <x:c r="J111" s="14"/>
    </x:row>
    <x:row r="112">
      <x:c r="A112" s="14"/>
      <x:c r="B112" s="22"/>
      <x:c r="C112" s="14"/>
      <x:c r="D112" s="14"/>
      <x:c r="E112" s="22" t="n">
        <x:f>IF(D112=0,0,B112/D112)</x:f>
        <x:v>0</x:v>
      </x:c>
      <x:c r="F112" s="22" t="n">
        <x:f>D112*Setup!$B$8</x:f>
        <x:v>0</x:v>
      </x:c>
      <x:c r="G112" s="22" t="n">
        <x:f>B112-F112</x:f>
        <x:v>0</x:v>
      </x:c>
      <x:c r="H112" s="28" t="n">
        <x:f>IF(B112=0,0,G112/B112)</x:f>
        <x:v>0</x:v>
      </x:c>
      <x:c r="I112" s="14"/>
      <x:c r="J112" s="14"/>
    </x:row>
    <x:row r="113">
      <x:c r="A113" s="14"/>
      <x:c r="B113" s="22"/>
      <x:c r="C113" s="14"/>
      <x:c r="D113" s="14"/>
      <x:c r="E113" s="22" t="n">
        <x:f>IF(D113=0,0,B113/D113)</x:f>
        <x:v>0</x:v>
      </x:c>
      <x:c r="F113" s="22" t="n">
        <x:f>D113*Setup!$B$8</x:f>
        <x:v>0</x:v>
      </x:c>
      <x:c r="G113" s="22" t="n">
        <x:f>B113-F113</x:f>
        <x:v>0</x:v>
      </x:c>
      <x:c r="H113" s="28" t="n">
        <x:f>IF(B113=0,0,G113/B113)</x:f>
        <x:v>0</x:v>
      </x:c>
      <x:c r="I113" s="14"/>
      <x:c r="J113" s="14"/>
    </x:row>
    <x:row r="114">
      <x:c r="A114" s="14"/>
      <x:c r="B114" s="22"/>
      <x:c r="C114" s="14"/>
      <x:c r="D114" s="14"/>
      <x:c r="E114" s="22" t="n">
        <x:f>IF(D114=0,0,B114/D114)</x:f>
        <x:v>0</x:v>
      </x:c>
      <x:c r="F114" s="22" t="n">
        <x:f>D114*Setup!$B$8</x:f>
        <x:v>0</x:v>
      </x:c>
      <x:c r="G114" s="22" t="n">
        <x:f>B114-F114</x:f>
        <x:v>0</x:v>
      </x:c>
      <x:c r="H114" s="28" t="n">
        <x:f>IF(B114=0,0,G114/B114)</x:f>
        <x:v>0</x:v>
      </x:c>
      <x:c r="I114" s="14"/>
      <x:c r="J114" s="14"/>
    </x:row>
    <x:row r="115">
      <x:c r="A115" s="14"/>
      <x:c r="B115" s="22"/>
      <x:c r="C115" s="14"/>
      <x:c r="D115" s="14"/>
      <x:c r="E115" s="22" t="n">
        <x:f>IF(D115=0,0,B115/D115)</x:f>
        <x:v>0</x:v>
      </x:c>
      <x:c r="F115" s="22" t="n">
        <x:f>D115*Setup!$B$8</x:f>
        <x:v>0</x:v>
      </x:c>
      <x:c r="G115" s="22" t="n">
        <x:f>B115-F115</x:f>
        <x:v>0</x:v>
      </x:c>
      <x:c r="H115" s="28" t="n">
        <x:f>IF(B115=0,0,G115/B115)</x:f>
        <x:v>0</x:v>
      </x:c>
      <x:c r="I115" s="14"/>
      <x:c r="J115" s="14"/>
    </x:row>
    <x:row r="116">
      <x:c r="A116" s="14"/>
      <x:c r="B116" s="22"/>
      <x:c r="C116" s="14"/>
      <x:c r="D116" s="14"/>
      <x:c r="E116" s="22" t="n">
        <x:f>IF(D116=0,0,B116/D116)</x:f>
        <x:v>0</x:v>
      </x:c>
      <x:c r="F116" s="22" t="n">
        <x:f>D116*Setup!$B$8</x:f>
        <x:v>0</x:v>
      </x:c>
      <x:c r="G116" s="22" t="n">
        <x:f>B116-F116</x:f>
        <x:v>0</x:v>
      </x:c>
      <x:c r="H116" s="28" t="n">
        <x:f>IF(B116=0,0,G116/B116)</x:f>
        <x:v>0</x:v>
      </x:c>
      <x:c r="I116" s="14"/>
      <x:c r="J116" s="14"/>
    </x:row>
    <x:row r="117">
      <x:c r="A117" s="14"/>
      <x:c r="B117" s="22"/>
      <x:c r="C117" s="14"/>
      <x:c r="D117" s="14"/>
      <x:c r="E117" s="22" t="n">
        <x:f>IF(D117=0,0,B117/D117)</x:f>
        <x:v>0</x:v>
      </x:c>
      <x:c r="F117" s="22" t="n">
        <x:f>D117*Setup!$B$8</x:f>
        <x:v>0</x:v>
      </x:c>
      <x:c r="G117" s="22" t="n">
        <x:f>B117-F117</x:f>
        <x:v>0</x:v>
      </x:c>
      <x:c r="H117" s="28" t="n">
        <x:f>IF(B117=0,0,G117/B117)</x:f>
        <x:v>0</x:v>
      </x:c>
      <x:c r="I117" s="14"/>
      <x:c r="J117" s="14"/>
    </x:row>
    <x:row r="118">
      <x:c r="A118" s="14"/>
      <x:c r="B118" s="22"/>
      <x:c r="C118" s="14"/>
      <x:c r="D118" s="14"/>
      <x:c r="E118" s="22" t="n">
        <x:f>IF(D118=0,0,B118/D118)</x:f>
        <x:v>0</x:v>
      </x:c>
      <x:c r="F118" s="22" t="n">
        <x:f>D118*Setup!$B$8</x:f>
        <x:v>0</x:v>
      </x:c>
      <x:c r="G118" s="22" t="n">
        <x:f>B118-F118</x:f>
        <x:v>0</x:v>
      </x:c>
      <x:c r="H118" s="28" t="n">
        <x:f>IF(B118=0,0,G118/B118)</x:f>
        <x:v>0</x:v>
      </x:c>
      <x:c r="I118" s="14"/>
      <x:c r="J118" s="14"/>
    </x:row>
    <x:row r="119">
      <x:c r="A119" s="14"/>
      <x:c r="B119" s="22"/>
      <x:c r="C119" s="14"/>
      <x:c r="D119" s="14"/>
      <x:c r="E119" s="22" t="n">
        <x:f>IF(D119=0,0,B119/D119)</x:f>
        <x:v>0</x:v>
      </x:c>
      <x:c r="F119" s="22" t="n">
        <x:f>D119*Setup!$B$8</x:f>
        <x:v>0</x:v>
      </x:c>
      <x:c r="G119" s="22" t="n">
        <x:f>B119-F119</x:f>
        <x:v>0</x:v>
      </x:c>
      <x:c r="H119" s="28" t="n">
        <x:f>IF(B119=0,0,G119/B119)</x:f>
        <x:v>0</x:v>
      </x:c>
      <x:c r="I119" s="14"/>
      <x:c r="J119" s="14"/>
    </x:row>
    <x:row r="120">
      <x:c r="A120" s="14"/>
      <x:c r="B120" s="22"/>
      <x:c r="C120" s="14"/>
      <x:c r="D120" s="14"/>
      <x:c r="E120" s="22" t="n">
        <x:f>IF(D120=0,0,B120/D120)</x:f>
        <x:v>0</x:v>
      </x:c>
      <x:c r="F120" s="22" t="n">
        <x:f>D120*Setup!$B$8</x:f>
        <x:v>0</x:v>
      </x:c>
      <x:c r="G120" s="22" t="n">
        <x:f>B120-F120</x:f>
        <x:v>0</x:v>
      </x:c>
      <x:c r="H120" s="28" t="n">
        <x:f>IF(B120=0,0,G120/B120)</x:f>
        <x:v>0</x:v>
      </x:c>
      <x:c r="I120" s="14"/>
      <x:c r="J120" s="14"/>
    </x:row>
    <x:row r="121">
      <x:c r="A121" s="14"/>
      <x:c r="B121" s="22"/>
      <x:c r="C121" s="14"/>
      <x:c r="D121" s="14"/>
      <x:c r="E121" s="22" t="n">
        <x:f>IF(D121=0,0,B121/D121)</x:f>
        <x:v>0</x:v>
      </x:c>
      <x:c r="F121" s="22" t="n">
        <x:f>D121*Setup!$B$8</x:f>
        <x:v>0</x:v>
      </x:c>
      <x:c r="G121" s="22" t="n">
        <x:f>B121-F121</x:f>
        <x:v>0</x:v>
      </x:c>
      <x:c r="H121" s="28" t="n">
        <x:f>IF(B121=0,0,G121/B121)</x:f>
        <x:v>0</x:v>
      </x:c>
      <x:c r="I121" s="14"/>
      <x:c r="J121" s="14"/>
    </x:row>
    <x:row r="122">
      <x:c r="A122" s="14"/>
      <x:c r="B122" s="22"/>
      <x:c r="C122" s="14"/>
      <x:c r="D122" s="14"/>
      <x:c r="E122" s="22" t="n">
        <x:f>IF(D122=0,0,B122/D122)</x:f>
        <x:v>0</x:v>
      </x:c>
      <x:c r="F122" s="22" t="n">
        <x:f>D122*Setup!$B$8</x:f>
        <x:v>0</x:v>
      </x:c>
      <x:c r="G122" s="22" t="n">
        <x:f>B122-F122</x:f>
        <x:v>0</x:v>
      </x:c>
      <x:c r="H122" s="28" t="n">
        <x:f>IF(B122=0,0,G122/B122)</x:f>
        <x:v>0</x:v>
      </x:c>
      <x:c r="I122" s="14"/>
      <x:c r="J122" s="14"/>
    </x:row>
    <x:row r="123">
      <x:c r="A123" s="14"/>
      <x:c r="B123" s="22"/>
      <x:c r="C123" s="14"/>
      <x:c r="D123" s="14"/>
      <x:c r="E123" s="22" t="n">
        <x:f>IF(D123=0,0,B123/D123)</x:f>
        <x:v>0</x:v>
      </x:c>
      <x:c r="F123" s="22" t="n">
        <x:f>D123*Setup!$B$8</x:f>
        <x:v>0</x:v>
      </x:c>
      <x:c r="G123" s="22" t="n">
        <x:f>B123-F123</x:f>
        <x:v>0</x:v>
      </x:c>
      <x:c r="H123" s="28" t="n">
        <x:f>IF(B123=0,0,G123/B123)</x:f>
        <x:v>0</x:v>
      </x:c>
      <x:c r="I123" s="14"/>
      <x:c r="J123" s="14"/>
    </x:row>
    <x:row r="124">
      <x:c r="A124" s="14"/>
      <x:c r="B124" s="22"/>
      <x:c r="C124" s="14"/>
      <x:c r="D124" s="14"/>
      <x:c r="E124" s="22" t="n">
        <x:f>IF(D124=0,0,B124/D124)</x:f>
        <x:v>0</x:v>
      </x:c>
      <x:c r="F124" s="22" t="n">
        <x:f>D124*Setup!$B$8</x:f>
        <x:v>0</x:v>
      </x:c>
      <x:c r="G124" s="22" t="n">
        <x:f>B124-F124</x:f>
        <x:v>0</x:v>
      </x:c>
      <x:c r="H124" s="28" t="n">
        <x:f>IF(B124=0,0,G124/B124)</x:f>
        <x:v>0</x:v>
      </x:c>
      <x:c r="I124" s="14"/>
      <x:c r="J124" s="14"/>
    </x:row>
    <x:row r="125">
      <x:c r="A125" s="14"/>
      <x:c r="B125" s="22"/>
      <x:c r="C125" s="14"/>
      <x:c r="D125" s="14"/>
      <x:c r="E125" s="22" t="n">
        <x:f>IF(D125=0,0,B125/D125)</x:f>
        <x:v>0</x:v>
      </x:c>
      <x:c r="F125" s="22" t="n">
        <x:f>D125*Setup!$B$8</x:f>
        <x:v>0</x:v>
      </x:c>
      <x:c r="G125" s="22" t="n">
        <x:f>B125-F125</x:f>
        <x:v>0</x:v>
      </x:c>
      <x:c r="H125" s="28" t="n">
        <x:f>IF(B125=0,0,G125/B125)</x:f>
        <x:v>0</x:v>
      </x:c>
      <x:c r="I125" s="14"/>
      <x:c r="J125" s="14"/>
    </x:row>
    <x:row r="126">
      <x:c r="A126" s="14"/>
      <x:c r="B126" s="22"/>
      <x:c r="C126" s="14"/>
      <x:c r="D126" s="14"/>
      <x:c r="E126" s="22" t="n">
        <x:f>IF(D126=0,0,B126/D126)</x:f>
        <x:v>0</x:v>
      </x:c>
      <x:c r="F126" s="22" t="n">
        <x:f>D126*Setup!$B$8</x:f>
        <x:v>0</x:v>
      </x:c>
      <x:c r="G126" s="22" t="n">
        <x:f>B126-F126</x:f>
        <x:v>0</x:v>
      </x:c>
      <x:c r="H126" s="28" t="n">
        <x:f>IF(B126=0,0,G126/B126)</x:f>
        <x:v>0</x:v>
      </x:c>
      <x:c r="I126" s="14"/>
      <x:c r="J126" s="14"/>
    </x:row>
    <x:row r="127">
      <x:c r="A127" s="14"/>
      <x:c r="B127" s="22"/>
      <x:c r="C127" s="14"/>
      <x:c r="D127" s="14"/>
      <x:c r="E127" s="22" t="n">
        <x:f>IF(D127=0,0,B127/D127)</x:f>
        <x:v>0</x:v>
      </x:c>
      <x:c r="F127" s="22" t="n">
        <x:f>D127*Setup!$B$8</x:f>
        <x:v>0</x:v>
      </x:c>
      <x:c r="G127" s="22" t="n">
        <x:f>B127-F127</x:f>
        <x:v>0</x:v>
      </x:c>
      <x:c r="H127" s="28" t="n">
        <x:f>IF(B127=0,0,G127/B127)</x:f>
        <x:v>0</x:v>
      </x:c>
      <x:c r="I127" s="14"/>
      <x:c r="J127" s="14"/>
    </x:row>
    <x:row r="128">
      <x:c r="A128" s="14"/>
      <x:c r="B128" s="22"/>
      <x:c r="C128" s="14"/>
      <x:c r="D128" s="14"/>
      <x:c r="E128" s="22" t="n">
        <x:f>IF(D128=0,0,B128/D128)</x:f>
        <x:v>0</x:v>
      </x:c>
      <x:c r="F128" s="22" t="n">
        <x:f>D128*Setup!$B$8</x:f>
        <x:v>0</x:v>
      </x:c>
      <x:c r="G128" s="22" t="n">
        <x:f>B128-F128</x:f>
        <x:v>0</x:v>
      </x:c>
      <x:c r="H128" s="28" t="n">
        <x:f>IF(B128=0,0,G128/B128)</x:f>
        <x:v>0</x:v>
      </x:c>
      <x:c r="I128" s="14"/>
      <x:c r="J128" s="14"/>
    </x:row>
    <x:row r="129">
      <x:c r="A129" s="14"/>
      <x:c r="B129" s="22"/>
      <x:c r="C129" s="14"/>
      <x:c r="D129" s="14"/>
      <x:c r="E129" s="22" t="n">
        <x:f>IF(D129=0,0,B129/D129)</x:f>
        <x:v>0</x:v>
      </x:c>
      <x:c r="F129" s="22" t="n">
        <x:f>D129*Setup!$B$8</x:f>
        <x:v>0</x:v>
      </x:c>
      <x:c r="G129" s="22" t="n">
        <x:f>B129-F129</x:f>
        <x:v>0</x:v>
      </x:c>
      <x:c r="H129" s="28" t="n">
        <x:f>IF(B129=0,0,G129/B129)</x:f>
        <x:v>0</x:v>
      </x:c>
      <x:c r="I129" s="14"/>
      <x:c r="J129" s="14"/>
    </x:row>
    <x:row r="130">
      <x:c r="A130" s="14"/>
      <x:c r="B130" s="22"/>
      <x:c r="C130" s="14"/>
      <x:c r="D130" s="14"/>
      <x:c r="E130" s="22" t="n">
        <x:f>IF(D130=0,0,B130/D130)</x:f>
        <x:v>0</x:v>
      </x:c>
      <x:c r="F130" s="22" t="n">
        <x:f>D130*Setup!$B$8</x:f>
        <x:v>0</x:v>
      </x:c>
      <x:c r="G130" s="22" t="n">
        <x:f>B130-F130</x:f>
        <x:v>0</x:v>
      </x:c>
      <x:c r="H130" s="28" t="n">
        <x:f>IF(B130=0,0,G130/B130)</x:f>
        <x:v>0</x:v>
      </x:c>
      <x:c r="I130" s="14"/>
      <x:c r="J130" s="14"/>
    </x:row>
    <x:row r="131">
      <x:c r="A131" s="14"/>
      <x:c r="B131" s="22"/>
      <x:c r="C131" s="14"/>
      <x:c r="D131" s="14"/>
      <x:c r="E131" s="22" t="n">
        <x:f>IF(D131=0,0,B131/D131)</x:f>
        <x:v>0</x:v>
      </x:c>
      <x:c r="F131" s="22" t="n">
        <x:f>D131*Setup!$B$8</x:f>
        <x:v>0</x:v>
      </x:c>
      <x:c r="G131" s="22" t="n">
        <x:f>B131-F131</x:f>
        <x:v>0</x:v>
      </x:c>
      <x:c r="H131" s="28" t="n">
        <x:f>IF(B131=0,0,G131/B131)</x:f>
        <x:v>0</x:v>
      </x:c>
      <x:c r="I131" s="14"/>
      <x:c r="J131" s="14"/>
    </x:row>
    <x:row r="132">
      <x:c r="A132" s="14"/>
      <x:c r="B132" s="22"/>
      <x:c r="C132" s="14"/>
      <x:c r="D132" s="14"/>
      <x:c r="E132" s="22" t="n">
        <x:f>IF(D132=0,0,B132/D132)</x:f>
        <x:v>0</x:v>
      </x:c>
      <x:c r="F132" s="22" t="n">
        <x:f>D132*Setup!$B$8</x:f>
        <x:v>0</x:v>
      </x:c>
      <x:c r="G132" s="22" t="n">
        <x:f>B132-F132</x:f>
        <x:v>0</x:v>
      </x:c>
      <x:c r="H132" s="28" t="n">
        <x:f>IF(B132=0,0,G132/B132)</x:f>
        <x:v>0</x:v>
      </x:c>
      <x:c r="I132" s="14"/>
      <x:c r="J132" s="14"/>
    </x:row>
    <x:row r="133">
      <x:c r="A133" s="14"/>
      <x:c r="B133" s="22"/>
      <x:c r="C133" s="14"/>
      <x:c r="D133" s="14"/>
      <x:c r="E133" s="22" t="n">
        <x:f>IF(D133=0,0,B133/D133)</x:f>
        <x:v>0</x:v>
      </x:c>
      <x:c r="F133" s="22" t="n">
        <x:f>D133*Setup!$B$8</x:f>
        <x:v>0</x:v>
      </x:c>
      <x:c r="G133" s="22" t="n">
        <x:f>B133-F133</x:f>
        <x:v>0</x:v>
      </x:c>
      <x:c r="H133" s="28" t="n">
        <x:f>IF(B133=0,0,G133/B133)</x:f>
        <x:v>0</x:v>
      </x:c>
      <x:c r="I133" s="14"/>
      <x:c r="J133" s="14"/>
    </x:row>
    <x:row r="134">
      <x:c r="A134" s="14"/>
      <x:c r="B134" s="22"/>
      <x:c r="C134" s="14"/>
      <x:c r="D134" s="14"/>
      <x:c r="E134" s="22" t="n">
        <x:f>IF(D134=0,0,B134/D134)</x:f>
        <x:v>0</x:v>
      </x:c>
      <x:c r="F134" s="22" t="n">
        <x:f>D134*Setup!$B$8</x:f>
        <x:v>0</x:v>
      </x:c>
      <x:c r="G134" s="22" t="n">
        <x:f>B134-F134</x:f>
        <x:v>0</x:v>
      </x:c>
      <x:c r="H134" s="28" t="n">
        <x:f>IF(B134=0,0,G134/B134)</x:f>
        <x:v>0</x:v>
      </x:c>
      <x:c r="I134" s="14"/>
      <x:c r="J134" s="14"/>
    </x:row>
    <x:row r="135">
      <x:c r="A135" s="14"/>
      <x:c r="B135" s="22"/>
      <x:c r="C135" s="14"/>
      <x:c r="D135" s="14"/>
      <x:c r="E135" s="22" t="n">
        <x:f>IF(D135=0,0,B135/D135)</x:f>
        <x:v>0</x:v>
      </x:c>
      <x:c r="F135" s="22" t="n">
        <x:f>D135*Setup!$B$8</x:f>
        <x:v>0</x:v>
      </x:c>
      <x:c r="G135" s="22" t="n">
        <x:f>B135-F135</x:f>
        <x:v>0</x:v>
      </x:c>
      <x:c r="H135" s="28" t="n">
        <x:f>IF(B135=0,0,G135/B135)</x:f>
        <x:v>0</x:v>
      </x:c>
      <x:c r="I135" s="14"/>
      <x:c r="J135" s="14"/>
    </x:row>
    <x:row r="136">
      <x:c r="A136" s="14"/>
      <x:c r="B136" s="22"/>
      <x:c r="C136" s="14"/>
      <x:c r="D136" s="14"/>
      <x:c r="E136" s="22" t="n">
        <x:f>IF(D136=0,0,B136/D136)</x:f>
        <x:v>0</x:v>
      </x:c>
      <x:c r="F136" s="22" t="n">
        <x:f>D136*Setup!$B$8</x:f>
        <x:v>0</x:v>
      </x:c>
      <x:c r="G136" s="22" t="n">
        <x:f>B136-F136</x:f>
        <x:v>0</x:v>
      </x:c>
      <x:c r="H136" s="28" t="n">
        <x:f>IF(B136=0,0,G136/B136)</x:f>
        <x:v>0</x:v>
      </x:c>
      <x:c r="I136" s="14"/>
      <x:c r="J136" s="14"/>
    </x:row>
    <x:row r="137">
      <x:c r="A137" s="14"/>
      <x:c r="B137" s="22"/>
      <x:c r="C137" s="14"/>
      <x:c r="D137" s="14"/>
      <x:c r="E137" s="22" t="n">
        <x:f>IF(D137=0,0,B137/D137)</x:f>
        <x:v>0</x:v>
      </x:c>
      <x:c r="F137" s="22" t="n">
        <x:f>D137*Setup!$B$8</x:f>
        <x:v>0</x:v>
      </x:c>
      <x:c r="G137" s="22" t="n">
        <x:f>B137-F137</x:f>
        <x:v>0</x:v>
      </x:c>
      <x:c r="H137" s="28" t="n">
        <x:f>IF(B137=0,0,G137/B137)</x:f>
        <x:v>0</x:v>
      </x:c>
      <x:c r="I137" s="14"/>
      <x:c r="J137" s="14"/>
    </x:row>
    <x:row r="138">
      <x:c r="A138" s="14"/>
      <x:c r="B138" s="22"/>
      <x:c r="C138" s="14"/>
      <x:c r="D138" s="14"/>
      <x:c r="E138" s="22" t="n">
        <x:f>IF(D138=0,0,B138/D138)</x:f>
        <x:v>0</x:v>
      </x:c>
      <x:c r="F138" s="22" t="n">
        <x:f>D138*Setup!$B$8</x:f>
        <x:v>0</x:v>
      </x:c>
      <x:c r="G138" s="22" t="n">
        <x:f>B138-F138</x:f>
        <x:v>0</x:v>
      </x:c>
      <x:c r="H138" s="28" t="n">
        <x:f>IF(B138=0,0,G138/B138)</x:f>
        <x:v>0</x:v>
      </x:c>
      <x:c r="I138" s="14"/>
      <x:c r="J138" s="14"/>
    </x:row>
    <x:row r="139">
      <x:c r="A139" s="14"/>
      <x:c r="B139" s="22"/>
      <x:c r="C139" s="14"/>
      <x:c r="D139" s="14"/>
      <x:c r="E139" s="22" t="n">
        <x:f>IF(D139=0,0,B139/D139)</x:f>
        <x:v>0</x:v>
      </x:c>
      <x:c r="F139" s="22" t="n">
        <x:f>D139*Setup!$B$8</x:f>
        <x:v>0</x:v>
      </x:c>
      <x:c r="G139" s="22" t="n">
        <x:f>B139-F139</x:f>
        <x:v>0</x:v>
      </x:c>
      <x:c r="H139" s="28" t="n">
        <x:f>IF(B139=0,0,G139/B139)</x:f>
        <x:v>0</x:v>
      </x:c>
      <x:c r="I139" s="14"/>
      <x:c r="J139" s="14"/>
    </x:row>
    <x:row r="140">
      <x:c r="A140" s="14"/>
      <x:c r="B140" s="22"/>
      <x:c r="C140" s="14"/>
      <x:c r="D140" s="14"/>
      <x:c r="E140" s="22" t="n">
        <x:f>IF(D140=0,0,B140/D140)</x:f>
        <x:v>0</x:v>
      </x:c>
      <x:c r="F140" s="22" t="n">
        <x:f>D140*Setup!$B$8</x:f>
        <x:v>0</x:v>
      </x:c>
      <x:c r="G140" s="22" t="n">
        <x:f>B140-F140</x:f>
        <x:v>0</x:v>
      </x:c>
      <x:c r="H140" s="28" t="n">
        <x:f>IF(B140=0,0,G140/B140)</x:f>
        <x:v>0</x:v>
      </x:c>
      <x:c r="I140" s="14"/>
      <x:c r="J140" s="14"/>
    </x:row>
    <x:row r="141">
      <x:c r="A141" s="14"/>
      <x:c r="B141" s="22"/>
      <x:c r="C141" s="14"/>
      <x:c r="D141" s="14"/>
      <x:c r="E141" s="22" t="n">
        <x:f>IF(D141=0,0,B141/D141)</x:f>
        <x:v>0</x:v>
      </x:c>
      <x:c r="F141" s="22" t="n">
        <x:f>D141*Setup!$B$8</x:f>
        <x:v>0</x:v>
      </x:c>
      <x:c r="G141" s="22" t="n">
        <x:f>B141-F141</x:f>
        <x:v>0</x:v>
      </x:c>
      <x:c r="H141" s="28" t="n">
        <x:f>IF(B141=0,0,G141/B141)</x:f>
        <x:v>0</x:v>
      </x:c>
      <x:c r="I141" s="14"/>
      <x:c r="J141" s="14"/>
    </x:row>
    <x:row r="142">
      <x:c r="A142" s="14"/>
      <x:c r="B142" s="22"/>
      <x:c r="C142" s="14"/>
      <x:c r="D142" s="14"/>
      <x:c r="E142" s="22" t="n">
        <x:f>IF(D142=0,0,B142/D142)</x:f>
        <x:v>0</x:v>
      </x:c>
      <x:c r="F142" s="22" t="n">
        <x:f>D142*Setup!$B$8</x:f>
        <x:v>0</x:v>
      </x:c>
      <x:c r="G142" s="22" t="n">
        <x:f>B142-F142</x:f>
        <x:v>0</x:v>
      </x:c>
      <x:c r="H142" s="28" t="n">
        <x:f>IF(B142=0,0,G142/B142)</x:f>
        <x:v>0</x:v>
      </x:c>
      <x:c r="I142" s="14"/>
      <x:c r="J142" s="14"/>
    </x:row>
    <x:row r="143">
      <x:c r="A143" s="14"/>
      <x:c r="B143" s="22"/>
      <x:c r="C143" s="14"/>
      <x:c r="D143" s="14"/>
      <x:c r="E143" s="22" t="n">
        <x:f>IF(D143=0,0,B143/D143)</x:f>
        <x:v>0</x:v>
      </x:c>
      <x:c r="F143" s="22" t="n">
        <x:f>D143*Setup!$B$8</x:f>
        <x:v>0</x:v>
      </x:c>
      <x:c r="G143" s="22" t="n">
        <x:f>B143-F143</x:f>
        <x:v>0</x:v>
      </x:c>
      <x:c r="H143" s="28" t="n">
        <x:f>IF(B143=0,0,G143/B143)</x:f>
        <x:v>0</x:v>
      </x:c>
      <x:c r="I143" s="14"/>
      <x:c r="J143" s="14"/>
    </x:row>
    <x:row r="144">
      <x:c r="A144" s="14"/>
      <x:c r="B144" s="22"/>
      <x:c r="C144" s="14"/>
      <x:c r="D144" s="14"/>
      <x:c r="E144" s="22" t="n">
        <x:f>IF(D144=0,0,B144/D144)</x:f>
        <x:v>0</x:v>
      </x:c>
      <x:c r="F144" s="22" t="n">
        <x:f>D144*Setup!$B$8</x:f>
        <x:v>0</x:v>
      </x:c>
      <x:c r="G144" s="22" t="n">
        <x:f>B144-F144</x:f>
        <x:v>0</x:v>
      </x:c>
      <x:c r="H144" s="28" t="n">
        <x:f>IF(B144=0,0,G144/B144)</x:f>
        <x:v>0</x:v>
      </x:c>
      <x:c r="I144" s="14"/>
      <x:c r="J144" s="14"/>
    </x:row>
    <x:row r="145">
      <x:c r="A145" s="14"/>
      <x:c r="B145" s="22"/>
      <x:c r="C145" s="14"/>
      <x:c r="D145" s="14"/>
      <x:c r="E145" s="22" t="n">
        <x:f>IF(D145=0,0,B145/D145)</x:f>
        <x:v>0</x:v>
      </x:c>
      <x:c r="F145" s="22" t="n">
        <x:f>D145*Setup!$B$8</x:f>
        <x:v>0</x:v>
      </x:c>
      <x:c r="G145" s="22" t="n">
        <x:f>B145-F145</x:f>
        <x:v>0</x:v>
      </x:c>
      <x:c r="H145" s="28" t="n">
        <x:f>IF(B145=0,0,G145/B145)</x:f>
        <x:v>0</x:v>
      </x:c>
      <x:c r="I145" s="14"/>
      <x:c r="J145" s="14"/>
    </x:row>
    <x:row r="146">
      <x:c r="A146" s="14"/>
      <x:c r="B146" s="22"/>
      <x:c r="C146" s="14"/>
      <x:c r="D146" s="14"/>
      <x:c r="E146" s="22" t="n">
        <x:f>IF(D146=0,0,B146/D146)</x:f>
        <x:v>0</x:v>
      </x:c>
      <x:c r="F146" s="22" t="n">
        <x:f>D146*Setup!$B$8</x:f>
        <x:v>0</x:v>
      </x:c>
      <x:c r="G146" s="22" t="n">
        <x:f>B146-F146</x:f>
        <x:v>0</x:v>
      </x:c>
      <x:c r="H146" s="28" t="n">
        <x:f>IF(B146=0,0,G146/B146)</x:f>
        <x:v>0</x:v>
      </x:c>
      <x:c r="I146" s="14"/>
      <x:c r="J146" s="14"/>
    </x:row>
    <x:row r="147">
      <x:c r="A147" s="14"/>
      <x:c r="B147" s="22"/>
      <x:c r="C147" s="14"/>
      <x:c r="D147" s="14"/>
      <x:c r="E147" s="22" t="n">
        <x:f>IF(D147=0,0,B147/D147)</x:f>
        <x:v>0</x:v>
      </x:c>
      <x:c r="F147" s="22" t="n">
        <x:f>D147*Setup!$B$8</x:f>
        <x:v>0</x:v>
      </x:c>
      <x:c r="G147" s="22" t="n">
        <x:f>B147-F147</x:f>
        <x:v>0</x:v>
      </x:c>
      <x:c r="H147" s="28" t="n">
        <x:f>IF(B147=0,0,G147/B147)</x:f>
        <x:v>0</x:v>
      </x:c>
      <x:c r="I147" s="14"/>
      <x:c r="J147" s="14"/>
    </x:row>
    <x:row r="148">
      <x:c r="A148" s="14"/>
      <x:c r="B148" s="22"/>
      <x:c r="C148" s="14"/>
      <x:c r="D148" s="14"/>
      <x:c r="E148" s="22" t="n">
        <x:f>IF(D148=0,0,B148/D148)</x:f>
        <x:v>0</x:v>
      </x:c>
      <x:c r="F148" s="22" t="n">
        <x:f>D148*Setup!$B$8</x:f>
        <x:v>0</x:v>
      </x:c>
      <x:c r="G148" s="22" t="n">
        <x:f>B148-F148</x:f>
        <x:v>0</x:v>
      </x:c>
      <x:c r="H148" s="28" t="n">
        <x:f>IF(B148=0,0,G148/B148)</x:f>
        <x:v>0</x:v>
      </x:c>
      <x:c r="I148" s="14"/>
      <x:c r="J148" s="14"/>
    </x:row>
    <x:row r="149">
      <x:c r="A149" s="14"/>
      <x:c r="B149" s="22"/>
      <x:c r="C149" s="14"/>
      <x:c r="D149" s="14"/>
      <x:c r="E149" s="22" t="n">
        <x:f>IF(D149=0,0,B149/D149)</x:f>
        <x:v>0</x:v>
      </x:c>
      <x:c r="F149" s="22" t="n">
        <x:f>D149*Setup!$B$8</x:f>
        <x:v>0</x:v>
      </x:c>
      <x:c r="G149" s="22" t="n">
        <x:f>B149-F149</x:f>
        <x:v>0</x:v>
      </x:c>
      <x:c r="H149" s="28" t="n">
        <x:f>IF(B149=0,0,G149/B149)</x:f>
        <x:v>0</x:v>
      </x:c>
      <x:c r="I149" s="14"/>
      <x:c r="J149" s="14"/>
    </x:row>
    <x:row r="150">
      <x:c r="A150" s="14"/>
      <x:c r="B150" s="22"/>
      <x:c r="C150" s="14"/>
      <x:c r="D150" s="14"/>
      <x:c r="E150" s="22" t="n">
        <x:f>IF(D150=0,0,B150/D150)</x:f>
        <x:v>0</x:v>
      </x:c>
      <x:c r="F150" s="22" t="n">
        <x:f>D150*Setup!$B$8</x:f>
        <x:v>0</x:v>
      </x:c>
      <x:c r="G150" s="22" t="n">
        <x:f>B150-F150</x:f>
        <x:v>0</x:v>
      </x:c>
      <x:c r="H150" s="28" t="n">
        <x:f>IF(B150=0,0,G150/B150)</x:f>
        <x:v>0</x:v>
      </x:c>
      <x:c r="I150" s="14"/>
      <x:c r="J150" s="14"/>
    </x:row>
    <x:row r="151">
      <x:c r="A151" s="14"/>
      <x:c r="B151" s="22"/>
      <x:c r="C151" s="14"/>
      <x:c r="D151" s="14"/>
      <x:c r="E151" s="22" t="n">
        <x:f>IF(D151=0,0,B151/D151)</x:f>
        <x:v>0</x:v>
      </x:c>
      <x:c r="F151" s="22" t="n">
        <x:f>D151*Setup!$B$8</x:f>
        <x:v>0</x:v>
      </x:c>
      <x:c r="G151" s="22" t="n">
        <x:f>B151-F151</x:f>
        <x:v>0</x:v>
      </x:c>
      <x:c r="H151" s="28" t="n">
        <x:f>IF(B151=0,0,G151/B151)</x:f>
        <x:v>0</x:v>
      </x:c>
      <x:c r="I151" s="14"/>
      <x:c r="J151" s="14"/>
    </x:row>
    <x:row r="152">
      <x:c r="A152" s="14"/>
      <x:c r="B152" s="22"/>
      <x:c r="C152" s="14"/>
      <x:c r="D152" s="14"/>
      <x:c r="E152" s="22" t="n">
        <x:f>IF(D152=0,0,B152/D152)</x:f>
        <x:v>0</x:v>
      </x:c>
      <x:c r="F152" s="22" t="n">
        <x:f>D152*Setup!$B$8</x:f>
        <x:v>0</x:v>
      </x:c>
      <x:c r="G152" s="22" t="n">
        <x:f>B152-F152</x:f>
        <x:v>0</x:v>
      </x:c>
      <x:c r="H152" s="28" t="n">
        <x:f>IF(B152=0,0,G152/B152)</x:f>
        <x:v>0</x:v>
      </x:c>
      <x:c r="I152" s="14"/>
      <x:c r="J152" s="14"/>
    </x:row>
    <x:row r="153">
      <x:c r="A153" s="14"/>
      <x:c r="B153" s="22"/>
      <x:c r="C153" s="14"/>
      <x:c r="D153" s="14"/>
      <x:c r="E153" s="22" t="n">
        <x:f>IF(D153=0,0,B153/D153)</x:f>
        <x:v>0</x:v>
      </x:c>
      <x:c r="F153" s="22" t="n">
        <x:f>D153*Setup!$B$8</x:f>
        <x:v>0</x:v>
      </x:c>
      <x:c r="G153" s="22" t="n">
        <x:f>B153-F153</x:f>
        <x:v>0</x:v>
      </x:c>
      <x:c r="H153" s="28" t="n">
        <x:f>IF(B153=0,0,G153/B153)</x:f>
        <x:v>0</x:v>
      </x:c>
      <x:c r="I153" s="14"/>
      <x:c r="J153" s="14"/>
    </x:row>
    <x:row r="154">
      <x:c r="A154" s="14"/>
      <x:c r="B154" s="22"/>
      <x:c r="C154" s="14"/>
      <x:c r="D154" s="14"/>
      <x:c r="E154" s="22" t="n">
        <x:f>IF(D154=0,0,B154/D154)</x:f>
        <x:v>0</x:v>
      </x:c>
      <x:c r="F154" s="22" t="n">
        <x:f>D154*Setup!$B$8</x:f>
        <x:v>0</x:v>
      </x:c>
      <x:c r="G154" s="22" t="n">
        <x:f>B154-F154</x:f>
        <x:v>0</x:v>
      </x:c>
      <x:c r="H154" s="28" t="n">
        <x:f>IF(B154=0,0,G154/B154)</x:f>
        <x:v>0</x:v>
      </x:c>
      <x:c r="I154" s="14"/>
      <x:c r="J154" s="14"/>
    </x:row>
    <x:row r="155">
      <x:c r="A155" s="14"/>
      <x:c r="B155" s="22"/>
      <x:c r="C155" s="14"/>
      <x:c r="D155" s="14"/>
      <x:c r="E155" s="22" t="n">
        <x:f>IF(D155=0,0,B155/D155)</x:f>
        <x:v>0</x:v>
      </x:c>
      <x:c r="F155" s="22" t="n">
        <x:f>D155*Setup!$B$8</x:f>
        <x:v>0</x:v>
      </x:c>
      <x:c r="G155" s="22" t="n">
        <x:f>B155-F155</x:f>
        <x:v>0</x:v>
      </x:c>
      <x:c r="H155" s="28" t="n">
        <x:f>IF(B155=0,0,G155/B155)</x:f>
        <x:v>0</x:v>
      </x:c>
      <x:c r="I155" s="14"/>
      <x:c r="J155" s="14"/>
    </x:row>
    <x:row r="156">
      <x:c r="A156" s="14"/>
      <x:c r="B156" s="22"/>
      <x:c r="C156" s="14"/>
      <x:c r="D156" s="14"/>
      <x:c r="E156" s="22" t="n">
        <x:f>IF(D156=0,0,B156/D156)</x:f>
        <x:v>0</x:v>
      </x:c>
      <x:c r="F156" s="22" t="n">
        <x:f>D156*Setup!$B$8</x:f>
        <x:v>0</x:v>
      </x:c>
      <x:c r="G156" s="22" t="n">
        <x:f>B156-F156</x:f>
        <x:v>0</x:v>
      </x:c>
      <x:c r="H156" s="28" t="n">
        <x:f>IF(B156=0,0,G156/B156)</x:f>
        <x:v>0</x:v>
      </x:c>
      <x:c r="I156" s="14"/>
      <x:c r="J156" s="14"/>
    </x:row>
    <x:row r="157">
      <x:c r="A157" s="14"/>
      <x:c r="B157" s="22"/>
      <x:c r="C157" s="14"/>
      <x:c r="D157" s="14"/>
      <x:c r="E157" s="22" t="n">
        <x:f>IF(D157=0,0,B157/D157)</x:f>
        <x:v>0</x:v>
      </x:c>
      <x:c r="F157" s="22" t="n">
        <x:f>D157*Setup!$B$8</x:f>
        <x:v>0</x:v>
      </x:c>
      <x:c r="G157" s="22" t="n">
        <x:f>B157-F157</x:f>
        <x:v>0</x:v>
      </x:c>
      <x:c r="H157" s="28" t="n">
        <x:f>IF(B157=0,0,G157/B157)</x:f>
        <x:v>0</x:v>
      </x:c>
      <x:c r="I157" s="14"/>
      <x:c r="J157" s="14"/>
    </x:row>
    <x:row r="158">
      <x:c r="A158" s="14"/>
      <x:c r="B158" s="22"/>
      <x:c r="C158" s="14"/>
      <x:c r="D158" s="14"/>
      <x:c r="E158" s="22" t="n">
        <x:f>IF(D158=0,0,B158/D158)</x:f>
        <x:v>0</x:v>
      </x:c>
      <x:c r="F158" s="22" t="n">
        <x:f>D158*Setup!$B$8</x:f>
        <x:v>0</x:v>
      </x:c>
      <x:c r="G158" s="22" t="n">
        <x:f>B158-F158</x:f>
        <x:v>0</x:v>
      </x:c>
      <x:c r="H158" s="28" t="n">
        <x:f>IF(B158=0,0,G158/B158)</x:f>
        <x:v>0</x:v>
      </x:c>
      <x:c r="I158" s="14"/>
      <x:c r="J158" s="14"/>
    </x:row>
    <x:row r="159">
      <x:c r="A159" s="14"/>
      <x:c r="B159" s="22"/>
      <x:c r="C159" s="14"/>
      <x:c r="D159" s="14"/>
      <x:c r="E159" s="22" t="n">
        <x:f>IF(D159=0,0,B159/D159)</x:f>
        <x:v>0</x:v>
      </x:c>
      <x:c r="F159" s="22" t="n">
        <x:f>D159*Setup!$B$8</x:f>
        <x:v>0</x:v>
      </x:c>
      <x:c r="G159" s="22" t="n">
        <x:f>B159-F159</x:f>
        <x:v>0</x:v>
      </x:c>
      <x:c r="H159" s="28" t="n">
        <x:f>IF(B159=0,0,G159/B159)</x:f>
        <x:v>0</x:v>
      </x:c>
      <x:c r="I159" s="14"/>
      <x:c r="J159" s="14"/>
    </x:row>
    <x:row r="160">
      <x:c r="A160" s="14"/>
      <x:c r="B160" s="22"/>
      <x:c r="C160" s="14"/>
      <x:c r="D160" s="14"/>
      <x:c r="E160" s="22" t="n">
        <x:f>IF(D160=0,0,B160/D160)</x:f>
        <x:v>0</x:v>
      </x:c>
      <x:c r="F160" s="22" t="n">
        <x:f>D160*Setup!$B$8</x:f>
        <x:v>0</x:v>
      </x:c>
      <x:c r="G160" s="22" t="n">
        <x:f>B160-F160</x:f>
        <x:v>0</x:v>
      </x:c>
      <x:c r="H160" s="28" t="n">
        <x:f>IF(B160=0,0,G160/B160)</x:f>
        <x:v>0</x:v>
      </x:c>
      <x:c r="I160" s="14"/>
      <x:c r="J160" s="14"/>
    </x:row>
    <x:row r="161">
      <x:c r="A161" s="14"/>
      <x:c r="B161" s="22"/>
      <x:c r="C161" s="14"/>
      <x:c r="D161" s="14"/>
      <x:c r="E161" s="22" t="n">
        <x:f>IF(D161=0,0,B161/D161)</x:f>
        <x:v>0</x:v>
      </x:c>
      <x:c r="F161" s="22" t="n">
        <x:f>D161*Setup!$B$8</x:f>
        <x:v>0</x:v>
      </x:c>
      <x:c r="G161" s="22" t="n">
        <x:f>B161-F161</x:f>
        <x:v>0</x:v>
      </x:c>
      <x:c r="H161" s="28" t="n">
        <x:f>IF(B161=0,0,G161/B161)</x:f>
        <x:v>0</x:v>
      </x:c>
      <x:c r="I161" s="14"/>
      <x:c r="J161" s="14"/>
    </x:row>
    <x:row r="162">
      <x:c r="A162" s="14"/>
      <x:c r="B162" s="22"/>
      <x:c r="C162" s="14"/>
      <x:c r="D162" s="14"/>
      <x:c r="E162" s="22" t="n">
        <x:f>IF(D162=0,0,B162/D162)</x:f>
        <x:v>0</x:v>
      </x:c>
      <x:c r="F162" s="22" t="n">
        <x:f>D162*Setup!$B$8</x:f>
        <x:v>0</x:v>
      </x:c>
      <x:c r="G162" s="22" t="n">
        <x:f>B162-F162</x:f>
        <x:v>0</x:v>
      </x:c>
      <x:c r="H162" s="28" t="n">
        <x:f>IF(B162=0,0,G162/B162)</x:f>
        <x:v>0</x:v>
      </x:c>
      <x:c r="I162" s="14"/>
      <x:c r="J162" s="14"/>
    </x:row>
    <x:row r="163">
      <x:c r="A163" s="14"/>
      <x:c r="B163" s="22"/>
      <x:c r="C163" s="14"/>
      <x:c r="D163" s="14"/>
      <x:c r="E163" s="22" t="n">
        <x:f>IF(D163=0,0,B163/D163)</x:f>
        <x:v>0</x:v>
      </x:c>
      <x:c r="F163" s="22" t="n">
        <x:f>D163*Setup!$B$8</x:f>
        <x:v>0</x:v>
      </x:c>
      <x:c r="G163" s="22" t="n">
        <x:f>B163-F163</x:f>
        <x:v>0</x:v>
      </x:c>
      <x:c r="H163" s="28" t="n">
        <x:f>IF(B163=0,0,G163/B163)</x:f>
        <x:v>0</x:v>
      </x:c>
      <x:c r="I163" s="14"/>
      <x:c r="J163" s="14"/>
    </x:row>
    <x:row r="164">
      <x:c r="A164" s="14"/>
      <x:c r="B164" s="22"/>
      <x:c r="C164" s="14"/>
      <x:c r="D164" s="14"/>
      <x:c r="E164" s="22" t="n">
        <x:f>IF(D164=0,0,B164/D164)</x:f>
        <x:v>0</x:v>
      </x:c>
      <x:c r="F164" s="22" t="n">
        <x:f>D164*Setup!$B$8</x:f>
        <x:v>0</x:v>
      </x:c>
      <x:c r="G164" s="22" t="n">
        <x:f>B164-F164</x:f>
        <x:v>0</x:v>
      </x:c>
      <x:c r="H164" s="28" t="n">
        <x:f>IF(B164=0,0,G164/B164)</x:f>
        <x:v>0</x:v>
      </x:c>
      <x:c r="I164" s="14"/>
      <x:c r="J164" s="14"/>
    </x:row>
    <x:row r="165">
      <x:c r="A165" s="14"/>
      <x:c r="B165" s="22"/>
      <x:c r="C165" s="14"/>
      <x:c r="D165" s="14"/>
      <x:c r="E165" s="22" t="n">
        <x:f>IF(D165=0,0,B165/D165)</x:f>
        <x:v>0</x:v>
      </x:c>
      <x:c r="F165" s="22" t="n">
        <x:f>D165*Setup!$B$8</x:f>
        <x:v>0</x:v>
      </x:c>
      <x:c r="G165" s="22" t="n">
        <x:f>B165-F165</x:f>
        <x:v>0</x:v>
      </x:c>
      <x:c r="H165" s="28" t="n">
        <x:f>IF(B165=0,0,G165/B165)</x:f>
        <x:v>0</x:v>
      </x:c>
      <x:c r="I165" s="14"/>
      <x:c r="J165" s="14"/>
    </x:row>
    <x:row r="166">
      <x:c r="A166" s="14"/>
      <x:c r="B166" s="22"/>
      <x:c r="C166" s="14"/>
      <x:c r="D166" s="14"/>
      <x:c r="E166" s="22" t="n">
        <x:f>IF(D166=0,0,B166/D166)</x:f>
        <x:v>0</x:v>
      </x:c>
      <x:c r="F166" s="22" t="n">
        <x:f>D166*Setup!$B$8</x:f>
        <x:v>0</x:v>
      </x:c>
      <x:c r="G166" s="22" t="n">
        <x:f>B166-F166</x:f>
        <x:v>0</x:v>
      </x:c>
      <x:c r="H166" s="28" t="n">
        <x:f>IF(B166=0,0,G166/B166)</x:f>
        <x:v>0</x:v>
      </x:c>
      <x:c r="I166" s="14"/>
      <x:c r="J166" s="14"/>
    </x:row>
    <x:row r="167">
      <x:c r="A167" s="14"/>
      <x:c r="B167" s="22"/>
      <x:c r="C167" s="14"/>
      <x:c r="D167" s="14"/>
      <x:c r="E167" s="22" t="n">
        <x:f>IF(D167=0,0,B167/D167)</x:f>
        <x:v>0</x:v>
      </x:c>
      <x:c r="F167" s="22" t="n">
        <x:f>D167*Setup!$B$8</x:f>
        <x:v>0</x:v>
      </x:c>
      <x:c r="G167" s="22" t="n">
        <x:f>B167-F167</x:f>
        <x:v>0</x:v>
      </x:c>
      <x:c r="H167" s="28" t="n">
        <x:f>IF(B167=0,0,G167/B167)</x:f>
        <x:v>0</x:v>
      </x:c>
      <x:c r="I167" s="14"/>
      <x:c r="J167" s="14"/>
    </x:row>
    <x:row r="168">
      <x:c r="A168" s="14"/>
      <x:c r="B168" s="22"/>
      <x:c r="C168" s="14"/>
      <x:c r="D168" s="14"/>
      <x:c r="E168" s="22" t="n">
        <x:f>IF(D168=0,0,B168/D168)</x:f>
        <x:v>0</x:v>
      </x:c>
      <x:c r="F168" s="22" t="n">
        <x:f>D168*Setup!$B$8</x:f>
        <x:v>0</x:v>
      </x:c>
      <x:c r="G168" s="22" t="n">
        <x:f>B168-F168</x:f>
        <x:v>0</x:v>
      </x:c>
      <x:c r="H168" s="28" t="n">
        <x:f>IF(B168=0,0,G168/B168)</x:f>
        <x:v>0</x:v>
      </x:c>
      <x:c r="I168" s="14"/>
      <x:c r="J168" s="14"/>
    </x:row>
    <x:row r="169">
      <x:c r="A169" s="14"/>
      <x:c r="B169" s="22"/>
      <x:c r="C169" s="14"/>
      <x:c r="D169" s="14"/>
      <x:c r="E169" s="22" t="n">
        <x:f>IF(D169=0,0,B169/D169)</x:f>
        <x:v>0</x:v>
      </x:c>
      <x:c r="F169" s="22" t="n">
        <x:f>D169*Setup!$B$8</x:f>
        <x:v>0</x:v>
      </x:c>
      <x:c r="G169" s="22" t="n">
        <x:f>B169-F169</x:f>
        <x:v>0</x:v>
      </x:c>
      <x:c r="H169" s="28" t="n">
        <x:f>IF(B169=0,0,G169/B169)</x:f>
        <x:v>0</x:v>
      </x:c>
      <x:c r="I169" s="14"/>
      <x:c r="J169" s="14"/>
    </x:row>
    <x:row r="170">
      <x:c r="A170" s="14"/>
      <x:c r="B170" s="22"/>
      <x:c r="C170" s="14"/>
      <x:c r="D170" s="14"/>
      <x:c r="E170" s="22" t="n">
        <x:f>IF(D170=0,0,B170/D170)</x:f>
        <x:v>0</x:v>
      </x:c>
      <x:c r="F170" s="22" t="n">
        <x:f>D170*Setup!$B$8</x:f>
        <x:v>0</x:v>
      </x:c>
      <x:c r="G170" s="22" t="n">
        <x:f>B170-F170</x:f>
        <x:v>0</x:v>
      </x:c>
      <x:c r="H170" s="28" t="n">
        <x:f>IF(B170=0,0,G170/B170)</x:f>
        <x:v>0</x:v>
      </x:c>
      <x:c r="I170" s="14"/>
      <x:c r="J170" s="14"/>
    </x:row>
    <x:row r="171">
      <x:c r="A171" s="14"/>
      <x:c r="B171" s="22"/>
      <x:c r="C171" s="14"/>
      <x:c r="D171" s="14"/>
      <x:c r="E171" s="22" t="n">
        <x:f>IF(D171=0,0,B171/D171)</x:f>
        <x:v>0</x:v>
      </x:c>
      <x:c r="F171" s="22" t="n">
        <x:f>D171*Setup!$B$8</x:f>
        <x:v>0</x:v>
      </x:c>
      <x:c r="G171" s="22" t="n">
        <x:f>B171-F171</x:f>
        <x:v>0</x:v>
      </x:c>
      <x:c r="H171" s="28" t="n">
        <x:f>IF(B171=0,0,G171/B171)</x:f>
        <x:v>0</x:v>
      </x:c>
      <x:c r="I171" s="14"/>
      <x:c r="J171" s="14"/>
    </x:row>
    <x:row r="172">
      <x:c r="A172" s="14"/>
      <x:c r="B172" s="22"/>
      <x:c r="C172" s="14"/>
      <x:c r="D172" s="14"/>
      <x:c r="E172" s="22" t="n">
        <x:f>IF(D172=0,0,B172/D172)</x:f>
        <x:v>0</x:v>
      </x:c>
      <x:c r="F172" s="22" t="n">
        <x:f>D172*Setup!$B$8</x:f>
        <x:v>0</x:v>
      </x:c>
      <x:c r="G172" s="22" t="n">
        <x:f>B172-F172</x:f>
        <x:v>0</x:v>
      </x:c>
      <x:c r="H172" s="28" t="n">
        <x:f>IF(B172=0,0,G172/B172)</x:f>
        <x:v>0</x:v>
      </x:c>
      <x:c r="I172" s="14"/>
      <x:c r="J172" s="14"/>
    </x:row>
    <x:row r="173">
      <x:c r="A173" s="14"/>
      <x:c r="B173" s="22"/>
      <x:c r="C173" s="14"/>
      <x:c r="D173" s="14"/>
      <x:c r="E173" s="22" t="n">
        <x:f>IF(D173=0,0,B173/D173)</x:f>
        <x:v>0</x:v>
      </x:c>
      <x:c r="F173" s="22" t="n">
        <x:f>D173*Setup!$B$8</x:f>
        <x:v>0</x:v>
      </x:c>
      <x:c r="G173" s="22" t="n">
        <x:f>B173-F173</x:f>
        <x:v>0</x:v>
      </x:c>
      <x:c r="H173" s="28" t="n">
        <x:f>IF(B173=0,0,G173/B173)</x:f>
        <x:v>0</x:v>
      </x:c>
      <x:c r="I173" s="14"/>
      <x:c r="J173" s="14"/>
    </x:row>
    <x:row r="174">
      <x:c r="A174" s="14"/>
      <x:c r="B174" s="22"/>
      <x:c r="C174" s="14"/>
      <x:c r="D174" s="14"/>
      <x:c r="E174" s="22" t="n">
        <x:f>IF(D174=0,0,B174/D174)</x:f>
        <x:v>0</x:v>
      </x:c>
      <x:c r="F174" s="22" t="n">
        <x:f>D174*Setup!$B$8</x:f>
        <x:v>0</x:v>
      </x:c>
      <x:c r="G174" s="22" t="n">
        <x:f>B174-F174</x:f>
        <x:v>0</x:v>
      </x:c>
      <x:c r="H174" s="28" t="n">
        <x:f>IF(B174=0,0,G174/B174)</x:f>
        <x:v>0</x:v>
      </x:c>
      <x:c r="I174" s="14"/>
      <x:c r="J174" s="14"/>
    </x:row>
    <x:row r="175">
      <x:c r="A175" s="14"/>
      <x:c r="B175" s="22"/>
      <x:c r="C175" s="14"/>
      <x:c r="D175" s="14"/>
      <x:c r="E175" s="22" t="n">
        <x:f>IF(D175=0,0,B175/D175)</x:f>
        <x:v>0</x:v>
      </x:c>
      <x:c r="F175" s="22" t="n">
        <x:f>D175*Setup!$B$8</x:f>
        <x:v>0</x:v>
      </x:c>
      <x:c r="G175" s="22" t="n">
        <x:f>B175-F175</x:f>
        <x:v>0</x:v>
      </x:c>
      <x:c r="H175" s="28" t="n">
        <x:f>IF(B175=0,0,G175/B175)</x:f>
        <x:v>0</x:v>
      </x:c>
      <x:c r="I175" s="14"/>
      <x:c r="J175" s="14"/>
    </x:row>
    <x:row r="176">
      <x:c r="A176" s="14"/>
      <x:c r="B176" s="22"/>
      <x:c r="C176" s="14"/>
      <x:c r="D176" s="14"/>
      <x:c r="E176" s="22" t="n">
        <x:f>IF(D176=0,0,B176/D176)</x:f>
        <x:v>0</x:v>
      </x:c>
      <x:c r="F176" s="22" t="n">
        <x:f>D176*Setup!$B$8</x:f>
        <x:v>0</x:v>
      </x:c>
      <x:c r="G176" s="22" t="n">
        <x:f>B176-F176</x:f>
        <x:v>0</x:v>
      </x:c>
      <x:c r="H176" s="28" t="n">
        <x:f>IF(B176=0,0,G176/B176)</x:f>
        <x:v>0</x:v>
      </x:c>
      <x:c r="I176" s="14"/>
      <x:c r="J176" s="14"/>
    </x:row>
    <x:row r="177">
      <x:c r="A177" s="14"/>
      <x:c r="B177" s="22"/>
      <x:c r="C177" s="14"/>
      <x:c r="D177" s="14"/>
      <x:c r="E177" s="22" t="n">
        <x:f>IF(D177=0,0,B177/D177)</x:f>
        <x:v>0</x:v>
      </x:c>
      <x:c r="F177" s="22" t="n">
        <x:f>D177*Setup!$B$8</x:f>
        <x:v>0</x:v>
      </x:c>
      <x:c r="G177" s="22" t="n">
        <x:f>B177-F177</x:f>
        <x:v>0</x:v>
      </x:c>
      <x:c r="H177" s="28" t="n">
        <x:f>IF(B177=0,0,G177/B177)</x:f>
        <x:v>0</x:v>
      </x:c>
      <x:c r="I177" s="14"/>
      <x:c r="J177" s="14"/>
    </x:row>
    <x:row r="178">
      <x:c r="A178" s="14"/>
      <x:c r="B178" s="22"/>
      <x:c r="C178" s="14"/>
      <x:c r="D178" s="14"/>
      <x:c r="E178" s="22" t="n">
        <x:f>IF(D178=0,0,B178/D178)</x:f>
        <x:v>0</x:v>
      </x:c>
      <x:c r="F178" s="22" t="n">
        <x:f>D178*Setup!$B$8</x:f>
        <x:v>0</x:v>
      </x:c>
      <x:c r="G178" s="22" t="n">
        <x:f>B178-F178</x:f>
        <x:v>0</x:v>
      </x:c>
      <x:c r="H178" s="28" t="n">
        <x:f>IF(B178=0,0,G178/B178)</x:f>
        <x:v>0</x:v>
      </x:c>
      <x:c r="I178" s="14"/>
      <x:c r="J178" s="14"/>
    </x:row>
    <x:row r="179">
      <x:c r="A179" s="14"/>
      <x:c r="B179" s="22"/>
      <x:c r="C179" s="14"/>
      <x:c r="D179" s="14"/>
      <x:c r="E179" s="22" t="n">
        <x:f>IF(D179=0,0,B179/D179)</x:f>
        <x:v>0</x:v>
      </x:c>
      <x:c r="F179" s="22" t="n">
        <x:f>D179*Setup!$B$8</x:f>
        <x:v>0</x:v>
      </x:c>
      <x:c r="G179" s="22" t="n">
        <x:f>B179-F179</x:f>
        <x:v>0</x:v>
      </x:c>
      <x:c r="H179" s="28" t="n">
        <x:f>IF(B179=0,0,G179/B179)</x:f>
        <x:v>0</x:v>
      </x:c>
      <x:c r="I179" s="14"/>
      <x:c r="J179" s="14"/>
    </x:row>
    <x:row r="180">
      <x:c r="A180" s="14"/>
      <x:c r="B180" s="22"/>
      <x:c r="C180" s="14"/>
      <x:c r="D180" s="14"/>
      <x:c r="E180" s="22" t="n">
        <x:f>IF(D180=0,0,B180/D180)</x:f>
        <x:v>0</x:v>
      </x:c>
      <x:c r="F180" s="22" t="n">
        <x:f>D180*Setup!$B$8</x:f>
        <x:v>0</x:v>
      </x:c>
      <x:c r="G180" s="22" t="n">
        <x:f>B180-F180</x:f>
        <x:v>0</x:v>
      </x:c>
      <x:c r="H180" s="28" t="n">
        <x:f>IF(B180=0,0,G180/B180)</x:f>
        <x:v>0</x:v>
      </x:c>
      <x:c r="I180" s="14"/>
      <x:c r="J180" s="14"/>
    </x:row>
    <x:row r="181">
      <x:c r="A181" s="14"/>
      <x:c r="B181" s="22"/>
      <x:c r="C181" s="14"/>
      <x:c r="D181" s="14"/>
      <x:c r="E181" s="22" t="n">
        <x:f>IF(D181=0,0,B181/D181)</x:f>
        <x:v>0</x:v>
      </x:c>
      <x:c r="F181" s="22" t="n">
        <x:f>D181*Setup!$B$8</x:f>
        <x:v>0</x:v>
      </x:c>
      <x:c r="G181" s="22" t="n">
        <x:f>B181-F181</x:f>
        <x:v>0</x:v>
      </x:c>
      <x:c r="H181" s="28" t="n">
        <x:f>IF(B181=0,0,G181/B181)</x:f>
        <x:v>0</x:v>
      </x:c>
      <x:c r="I181" s="14"/>
      <x:c r="J181" s="14"/>
    </x:row>
    <x:row r="182">
      <x:c r="A182" s="14"/>
      <x:c r="B182" s="22"/>
      <x:c r="C182" s="14"/>
      <x:c r="D182" s="14"/>
      <x:c r="E182" s="22" t="n">
        <x:f>IF(D182=0,0,B182/D182)</x:f>
        <x:v>0</x:v>
      </x:c>
      <x:c r="F182" s="22" t="n">
        <x:f>D182*Setup!$B$8</x:f>
        <x:v>0</x:v>
      </x:c>
      <x:c r="G182" s="22" t="n">
        <x:f>B182-F182</x:f>
        <x:v>0</x:v>
      </x:c>
      <x:c r="H182" s="28" t="n">
        <x:f>IF(B182=0,0,G182/B182)</x:f>
        <x:v>0</x:v>
      </x:c>
      <x:c r="I182" s="14"/>
      <x:c r="J182" s="14"/>
    </x:row>
    <x:row r="183">
      <x:c r="A183" s="14"/>
      <x:c r="B183" s="22"/>
      <x:c r="C183" s="14"/>
      <x:c r="D183" s="14"/>
      <x:c r="E183" s="22" t="n">
        <x:f>IF(D183=0,0,B183/D183)</x:f>
        <x:v>0</x:v>
      </x:c>
      <x:c r="F183" s="22" t="n">
        <x:f>D183*Setup!$B$8</x:f>
        <x:v>0</x:v>
      </x:c>
      <x:c r="G183" s="22" t="n">
        <x:f>B183-F183</x:f>
        <x:v>0</x:v>
      </x:c>
      <x:c r="H183" s="28" t="n">
        <x:f>IF(B183=0,0,G183/B183)</x:f>
        <x:v>0</x:v>
      </x:c>
      <x:c r="I183" s="14"/>
      <x:c r="J183" s="14"/>
    </x:row>
    <x:row r="184">
      <x:c r="A184" s="14"/>
      <x:c r="B184" s="22"/>
      <x:c r="C184" s="14"/>
      <x:c r="D184" s="14"/>
      <x:c r="E184" s="22" t="n">
        <x:f>IF(D184=0,0,B184/D184)</x:f>
        <x:v>0</x:v>
      </x:c>
      <x:c r="F184" s="22" t="n">
        <x:f>D184*Setup!$B$8</x:f>
        <x:v>0</x:v>
      </x:c>
      <x:c r="G184" s="22" t="n">
        <x:f>B184-F184</x:f>
        <x:v>0</x:v>
      </x:c>
      <x:c r="H184" s="28" t="n">
        <x:f>IF(B184=0,0,G184/B184)</x:f>
        <x:v>0</x:v>
      </x:c>
      <x:c r="I184" s="14"/>
      <x:c r="J184" s="14"/>
    </x:row>
    <x:row r="185">
      <x:c r="A185" s="14"/>
      <x:c r="B185" s="22"/>
      <x:c r="C185" s="14"/>
      <x:c r="D185" s="14"/>
      <x:c r="E185" s="22" t="n">
        <x:f>IF(D185=0,0,B185/D185)</x:f>
        <x:v>0</x:v>
      </x:c>
      <x:c r="F185" s="22" t="n">
        <x:f>D185*Setup!$B$8</x:f>
        <x:v>0</x:v>
      </x:c>
      <x:c r="G185" s="22" t="n">
        <x:f>B185-F185</x:f>
        <x:v>0</x:v>
      </x:c>
      <x:c r="H185" s="28" t="n">
        <x:f>IF(B185=0,0,G185/B185)</x:f>
        <x:v>0</x:v>
      </x:c>
      <x:c r="I185" s="14"/>
      <x:c r="J185" s="14"/>
    </x:row>
    <x:row r="186">
      <x:c r="A186" s="14"/>
      <x:c r="B186" s="22"/>
      <x:c r="C186" s="14"/>
      <x:c r="D186" s="14"/>
      <x:c r="E186" s="22" t="n">
        <x:f>IF(D186=0,0,B186/D186)</x:f>
        <x:v>0</x:v>
      </x:c>
      <x:c r="F186" s="22" t="n">
        <x:f>D186*Setup!$B$8</x:f>
        <x:v>0</x:v>
      </x:c>
      <x:c r="G186" s="22" t="n">
        <x:f>B186-F186</x:f>
        <x:v>0</x:v>
      </x:c>
      <x:c r="H186" s="28" t="n">
        <x:f>IF(B186=0,0,G186/B186)</x:f>
        <x:v>0</x:v>
      </x:c>
      <x:c r="I186" s="14"/>
      <x:c r="J186" s="14"/>
    </x:row>
    <x:row r="187">
      <x:c r="A187" s="14"/>
      <x:c r="B187" s="22"/>
      <x:c r="C187" s="14"/>
      <x:c r="D187" s="14"/>
      <x:c r="E187" s="22" t="n">
        <x:f>IF(D187=0,0,B187/D187)</x:f>
        <x:v>0</x:v>
      </x:c>
      <x:c r="F187" s="22" t="n">
        <x:f>D187*Setup!$B$8</x:f>
        <x:v>0</x:v>
      </x:c>
      <x:c r="G187" s="22" t="n">
        <x:f>B187-F187</x:f>
        <x:v>0</x:v>
      </x:c>
      <x:c r="H187" s="28" t="n">
        <x:f>IF(B187=0,0,G187/B187)</x:f>
        <x:v>0</x:v>
      </x:c>
      <x:c r="I187" s="14"/>
      <x:c r="J187" s="14"/>
    </x:row>
    <x:row r="188">
      <x:c r="A188" s="14"/>
      <x:c r="B188" s="22"/>
      <x:c r="C188" s="14"/>
      <x:c r="D188" s="14"/>
      <x:c r="E188" s="22" t="n">
        <x:f>IF(D188=0,0,B188/D188)</x:f>
        <x:v>0</x:v>
      </x:c>
      <x:c r="F188" s="22" t="n">
        <x:f>D188*Setup!$B$8</x:f>
        <x:v>0</x:v>
      </x:c>
      <x:c r="G188" s="22" t="n">
        <x:f>B188-F188</x:f>
        <x:v>0</x:v>
      </x:c>
      <x:c r="H188" s="28" t="n">
        <x:f>IF(B188=0,0,G188/B188)</x:f>
        <x:v>0</x:v>
      </x:c>
      <x:c r="I188" s="14"/>
      <x:c r="J188" s="14"/>
    </x:row>
    <x:row r="189">
      <x:c r="A189" s="14"/>
      <x:c r="B189" s="22"/>
      <x:c r="C189" s="14"/>
      <x:c r="D189" s="14"/>
      <x:c r="E189" s="22" t="n">
        <x:f>IF(D189=0,0,B189/D189)</x:f>
        <x:v>0</x:v>
      </x:c>
      <x:c r="F189" s="22" t="n">
        <x:f>D189*Setup!$B$8</x:f>
        <x:v>0</x:v>
      </x:c>
      <x:c r="G189" s="22" t="n">
        <x:f>B189-F189</x:f>
        <x:v>0</x:v>
      </x:c>
      <x:c r="H189" s="28" t="n">
        <x:f>IF(B189=0,0,G189/B189)</x:f>
        <x:v>0</x:v>
      </x:c>
      <x:c r="I189" s="14"/>
      <x:c r="J189" s="14"/>
    </x:row>
    <x:row r="190">
      <x:c r="A190" s="14"/>
      <x:c r="B190" s="22"/>
      <x:c r="C190" s="14"/>
      <x:c r="D190" s="14"/>
      <x:c r="E190" s="22" t="n">
        <x:f>IF(D190=0,0,B190/D190)</x:f>
        <x:v>0</x:v>
      </x:c>
      <x:c r="F190" s="22" t="n">
        <x:f>D190*Setup!$B$8</x:f>
        <x:v>0</x:v>
      </x:c>
      <x:c r="G190" s="22" t="n">
        <x:f>B190-F190</x:f>
        <x:v>0</x:v>
      </x:c>
      <x:c r="H190" s="28" t="n">
        <x:f>IF(B190=0,0,G190/B190)</x:f>
        <x:v>0</x:v>
      </x:c>
      <x:c r="I190" s="14"/>
      <x:c r="J190" s="14"/>
    </x:row>
    <x:row r="191">
      <x:c r="A191" s="14"/>
      <x:c r="B191" s="22"/>
      <x:c r="C191" s="14"/>
      <x:c r="D191" s="14"/>
      <x:c r="E191" s="22" t="n">
        <x:f>IF(D191=0,0,B191/D191)</x:f>
        <x:v>0</x:v>
      </x:c>
      <x:c r="F191" s="22" t="n">
        <x:f>D191*Setup!$B$8</x:f>
        <x:v>0</x:v>
      </x:c>
      <x:c r="G191" s="22" t="n">
        <x:f>B191-F191</x:f>
        <x:v>0</x:v>
      </x:c>
      <x:c r="H191" s="28" t="n">
        <x:f>IF(B191=0,0,G191/B191)</x:f>
        <x:v>0</x:v>
      </x:c>
      <x:c r="I191" s="14"/>
      <x:c r="J191" s="14"/>
    </x:row>
    <x:row r="192">
      <x:c r="A192" s="14"/>
      <x:c r="B192" s="22"/>
      <x:c r="C192" s="14"/>
      <x:c r="D192" s="14"/>
      <x:c r="E192" s="22" t="n">
        <x:f>IF(D192=0,0,B192/D192)</x:f>
        <x:v>0</x:v>
      </x:c>
      <x:c r="F192" s="22" t="n">
        <x:f>D192*Setup!$B$8</x:f>
        <x:v>0</x:v>
      </x:c>
      <x:c r="G192" s="22" t="n">
        <x:f>B192-F192</x:f>
        <x:v>0</x:v>
      </x:c>
      <x:c r="H192" s="28" t="n">
        <x:f>IF(B192=0,0,G192/B192)</x:f>
        <x:v>0</x:v>
      </x:c>
      <x:c r="I192" s="14"/>
      <x:c r="J192" s="14"/>
    </x:row>
    <x:row r="193">
      <x:c r="A193" s="14"/>
      <x:c r="B193" s="22"/>
      <x:c r="C193" s="14"/>
      <x:c r="D193" s="14"/>
      <x:c r="E193" s="22" t="n">
        <x:f>IF(D193=0,0,B193/D193)</x:f>
        <x:v>0</x:v>
      </x:c>
      <x:c r="F193" s="22" t="n">
        <x:f>D193*Setup!$B$8</x:f>
        <x:v>0</x:v>
      </x:c>
      <x:c r="G193" s="22" t="n">
        <x:f>B193-F193</x:f>
        <x:v>0</x:v>
      </x:c>
      <x:c r="H193" s="28" t="n">
        <x:f>IF(B193=0,0,G193/B193)</x:f>
        <x:v>0</x:v>
      </x:c>
      <x:c r="I193" s="14"/>
      <x:c r="J193" s="14"/>
    </x:row>
    <x:row r="194">
      <x:c r="A194" s="14"/>
      <x:c r="B194" s="22"/>
      <x:c r="C194" s="14"/>
      <x:c r="D194" s="14"/>
      <x:c r="E194" s="22" t="n">
        <x:f>IF(D194=0,0,B194/D194)</x:f>
        <x:v>0</x:v>
      </x:c>
      <x:c r="F194" s="22" t="n">
        <x:f>D194*Setup!$B$8</x:f>
        <x:v>0</x:v>
      </x:c>
      <x:c r="G194" s="22" t="n">
        <x:f>B194-F194</x:f>
        <x:v>0</x:v>
      </x:c>
      <x:c r="H194" s="28" t="n">
        <x:f>IF(B194=0,0,G194/B194)</x:f>
        <x:v>0</x:v>
      </x:c>
      <x:c r="I194" s="14"/>
      <x:c r="J194" s="14"/>
    </x:row>
    <x:row r="195">
      <x:c r="A195" s="14"/>
      <x:c r="B195" s="22"/>
      <x:c r="C195" s="14"/>
      <x:c r="D195" s="14"/>
      <x:c r="E195" s="22" t="n">
        <x:f>IF(D195=0,0,B195/D195)</x:f>
        <x:v>0</x:v>
      </x:c>
      <x:c r="F195" s="22" t="n">
        <x:f>D195*Setup!$B$8</x:f>
        <x:v>0</x:v>
      </x:c>
      <x:c r="G195" s="22" t="n">
        <x:f>B195-F195</x:f>
        <x:v>0</x:v>
      </x:c>
      <x:c r="H195" s="28" t="n">
        <x:f>IF(B195=0,0,G195/B195)</x:f>
        <x:v>0</x:v>
      </x:c>
      <x:c r="I195" s="14"/>
      <x:c r="J195" s="14"/>
    </x:row>
    <x:row r="196">
      <x:c r="A196" s="14"/>
      <x:c r="B196" s="22"/>
      <x:c r="C196" s="14"/>
      <x:c r="D196" s="14"/>
      <x:c r="E196" s="22" t="n">
        <x:f>IF(D196=0,0,B196/D196)</x:f>
        <x:v>0</x:v>
      </x:c>
      <x:c r="F196" s="22" t="n">
        <x:f>D196*Setup!$B$8</x:f>
        <x:v>0</x:v>
      </x:c>
      <x:c r="G196" s="22" t="n">
        <x:f>B196-F196</x:f>
        <x:v>0</x:v>
      </x:c>
      <x:c r="H196" s="28" t="n">
        <x:f>IF(B196=0,0,G196/B196)</x:f>
        <x:v>0</x:v>
      </x:c>
      <x:c r="I196" s="14"/>
      <x:c r="J196" s="14"/>
    </x:row>
    <x:row r="197">
      <x:c r="A197" s="14"/>
      <x:c r="B197" s="22"/>
      <x:c r="C197" s="14"/>
      <x:c r="D197" s="14"/>
      <x:c r="E197" s="22" t="n">
        <x:f>IF(D197=0,0,B197/D197)</x:f>
        <x:v>0</x:v>
      </x:c>
      <x:c r="F197" s="22" t="n">
        <x:f>D197*Setup!$B$8</x:f>
        <x:v>0</x:v>
      </x:c>
      <x:c r="G197" s="22" t="n">
        <x:f>B197-F197</x:f>
        <x:v>0</x:v>
      </x:c>
      <x:c r="H197" s="28" t="n">
        <x:f>IF(B197=0,0,G197/B197)</x:f>
        <x:v>0</x:v>
      </x:c>
      <x:c r="I197" s="14"/>
      <x:c r="J197" s="14"/>
    </x:row>
    <x:row r="198">
      <x:c r="A198" s="14"/>
      <x:c r="B198" s="22"/>
      <x:c r="C198" s="14"/>
      <x:c r="D198" s="14"/>
      <x:c r="E198" s="22" t="n">
        <x:f>IF(D198=0,0,B198/D198)</x:f>
        <x:v>0</x:v>
      </x:c>
      <x:c r="F198" s="22" t="n">
        <x:f>D198*Setup!$B$8</x:f>
        <x:v>0</x:v>
      </x:c>
      <x:c r="G198" s="22" t="n">
        <x:f>B198-F198</x:f>
        <x:v>0</x:v>
      </x:c>
      <x:c r="H198" s="28" t="n">
        <x:f>IF(B198=0,0,G198/B198)</x:f>
        <x:v>0</x:v>
      </x:c>
      <x:c r="I198" s="14"/>
      <x:c r="J198" s="14"/>
    </x:row>
    <x:row r="199">
      <x:c r="A199" s="14"/>
      <x:c r="B199" s="22"/>
      <x:c r="C199" s="14"/>
      <x:c r="D199" s="14"/>
      <x:c r="E199" s="22" t="n">
        <x:f>IF(D199=0,0,B199/D199)</x:f>
        <x:v>0</x:v>
      </x:c>
      <x:c r="F199" s="22" t="n">
        <x:f>D199*Setup!$B$8</x:f>
        <x:v>0</x:v>
      </x:c>
      <x:c r="G199" s="22" t="n">
        <x:f>B199-F199</x:f>
        <x:v>0</x:v>
      </x:c>
      <x:c r="H199" s="28" t="n">
        <x:f>IF(B199=0,0,G199/B199)</x:f>
        <x:v>0</x:v>
      </x:c>
      <x:c r="I199" s="14"/>
      <x:c r="J199" s="14"/>
    </x:row>
    <x:row r="200">
      <x:c r="A200" s="14"/>
      <x:c r="B200" s="22"/>
      <x:c r="C200" s="14"/>
      <x:c r="D200" s="14"/>
      <x:c r="E200" s="22" t="n">
        <x:f>IF(D200=0,0,B200/D200)</x:f>
        <x:v>0</x:v>
      </x:c>
      <x:c r="F200" s="22" t="n">
        <x:f>D200*Setup!$B$8</x:f>
        <x:v>0</x:v>
      </x:c>
      <x:c r="G200" s="22" t="n">
        <x:f>B200-F200</x:f>
        <x:v>0</x:v>
      </x:c>
      <x:c r="H200" s="28" t="n">
        <x:f>IF(B200=0,0,G200/B200)</x:f>
        <x:v>0</x:v>
      </x:c>
      <x:c r="I200" s="14"/>
      <x:c r="J200" s="14"/>
    </x:row>
    <x:row r="201">
      <x:c r="A201" s="14"/>
      <x:c r="B201" s="22"/>
      <x:c r="C201" s="14"/>
      <x:c r="D201" s="14"/>
      <x:c r="E201" s="22" t="n">
        <x:f>IF(D201=0,0,B201/D201)</x:f>
        <x:v>0</x:v>
      </x:c>
      <x:c r="F201" s="22" t="n">
        <x:f>D201*Setup!$B$8</x:f>
        <x:v>0</x:v>
      </x:c>
      <x:c r="G201" s="22" t="n">
        <x:f>B201-F201</x:f>
        <x:v>0</x:v>
      </x:c>
      <x:c r="H201" s="28" t="n">
        <x:f>IF(B201=0,0,G201/B201)</x:f>
        <x:v>0</x:v>
      </x:c>
      <x:c r="I201" s="14"/>
      <x:c r="J201" s="14"/>
    </x:row>
    <x:row r="202">
      <x:c r="A202" s="14"/>
      <x:c r="B202" s="22"/>
      <x:c r="C202" s="14"/>
      <x:c r="D202" s="14"/>
      <x:c r="E202" s="22" t="n">
        <x:f>IF(D202=0,0,B202/D202)</x:f>
        <x:v>0</x:v>
      </x:c>
      <x:c r="F202" s="22" t="n">
        <x:f>D202*Setup!$B$8</x:f>
        <x:v>0</x:v>
      </x:c>
      <x:c r="G202" s="22" t="n">
        <x:f>B202-F202</x:f>
        <x:v>0</x:v>
      </x:c>
      <x:c r="H202" s="28" t="n">
        <x:f>IF(B202=0,0,G202/B202)</x:f>
        <x:v>0</x:v>
      </x:c>
      <x:c r="I202" s="14"/>
      <x:c r="J202" s="14"/>
    </x:row>
    <x:row r="203">
      <x:c r="A203" s="14"/>
      <x:c r="B203" s="22"/>
      <x:c r="C203" s="14"/>
      <x:c r="D203" s="14"/>
      <x:c r="E203" s="22" t="n">
        <x:f>IF(D203=0,0,B203/D203)</x:f>
        <x:v>0</x:v>
      </x:c>
      <x:c r="F203" s="22" t="n">
        <x:f>D203*Setup!$B$8</x:f>
        <x:v>0</x:v>
      </x:c>
      <x:c r="G203" s="22" t="n">
        <x:f>B203-F203</x:f>
        <x:v>0</x:v>
      </x:c>
      <x:c r="H203" s="28" t="n">
        <x:f>IF(B203=0,0,G203/B203)</x:f>
        <x:v>0</x:v>
      </x:c>
      <x:c r="I203" s="14"/>
      <x:c r="J203" s="14"/>
    </x:row>
    <x:row r="204">
      <x:c r="A204" s="14"/>
      <x:c r="B204" s="22"/>
      <x:c r="C204" s="14"/>
      <x:c r="D204" s="14"/>
      <x:c r="E204" s="22" t="n">
        <x:f>IF(D204=0,0,B204/D204)</x:f>
        <x:v>0</x:v>
      </x:c>
      <x:c r="F204" s="22" t="n">
        <x:f>D204*Setup!$B$8</x:f>
        <x:v>0</x:v>
      </x:c>
      <x:c r="G204" s="22" t="n">
        <x:f>B204-F204</x:f>
        <x:v>0</x:v>
      </x:c>
      <x:c r="H204" s="28" t="n">
        <x:f>IF(B204=0,0,G204/B204)</x:f>
        <x:v>0</x:v>
      </x:c>
      <x:c r="I204" s="14"/>
      <x:c r="J204" s="14"/>
    </x:row>
    <x:row r="205">
      <x:c r="A205" s="15"/>
      <x:c r="B205" s="23"/>
      <x:c r="C205" s="15"/>
      <x:c r="D205" s="15"/>
      <x:c r="E205" s="23" t="n">
        <x:f>IF(D205=0,0,B205/D205)</x:f>
        <x:v>0</x:v>
      </x:c>
      <x:c r="F205" s="23" t="n">
        <x:f>D205*Setup!$B$8</x:f>
        <x:v>0</x:v>
      </x:c>
      <x:c r="G205" s="23" t="n">
        <x:f>B205-F205</x:f>
        <x:v>0</x:v>
      </x:c>
      <x:c r="H205" s="29" t="n">
        <x:f>IF(B205=0,0,G205/B205)</x:f>
        <x:v>0</x:v>
      </x:c>
      <x:c r="I205" s="15"/>
      <x:c r="J205" s="15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db9606084000443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3" hidden="0" customWidth="1"/>
    <x:col min="3" max="3" width="5" hidden="0" customWidth="1"/>
    <x:col min="4" max="4" width="5" hidden="0" customWidth="1"/>
    <x:col min="5" max="5" width="5" hidden="0" customWidth="1"/>
    <x:col min="6" max="6" width="5" hidden="0" customWidth="1"/>
    <x:col min="7" max="7" width="22" hidden="0" customWidth="1"/>
    <x:col min="8" max="8" width="13" hidden="0" customWidth="1"/>
    <x:col min="9" max="9" width="5" hidden="0" customWidth="1"/>
    <x:col min="10" max="10" width="5" hidden="0" customWidth="1"/>
    <x:col min="11" max="11" width="5" hidden="0" customWidth="1"/>
    <x:col min="12" max="12" width="5" hidden="0" customWidth="1"/>
  </x:cols>
  <x:sheetData>
    <x:row r="1" ht="34" customHeight="1">
      <x:c r="A1" s="2" t="str">
        <x:v>Practice Dashboard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4" t="str">
        <x:v>Live view of recurring revenue, pipeline, close progress, and collections.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4">
      <x:c r="A4" s="31" t="str">
        <x:v>Monthly Recurring Revenue</x:v>
      </x:c>
      <x:c r="B4" s="31"/>
      <x:c r="C4" s="31"/>
      <x:c r="D4" s="31" t="str">
        <x:v>Weighted Pipeline</x:v>
      </x:c>
      <x:c r="E4" s="31"/>
      <x:c r="F4" s="31"/>
      <x:c r="G4" s="31" t="str">
        <x:v>Active Clients</x:v>
      </x:c>
      <x:c r="H4" s="31"/>
      <x:c r="I4" s="31"/>
      <x:c r="J4" s="31" t="str">
        <x:v>Overdue Invoices</x:v>
      </x:c>
      <x:c r="K4" s="31"/>
      <x:c r="L4" s="31"/>
    </x:row>
    <x:row r="5">
      <x:c r="A5" s="51" t="n">
        <x:f>SUMIFS('Client CRM'!$F$5:$F$205,'Client CRM'!$C$5:$C$205,"Active")</x:f>
        <x:v>850</x:v>
      </x:c>
      <x:c r="B5" s="52"/>
      <x:c r="C5" s="53"/>
      <x:c r="D5" s="51" t="n">
        <x:f>SUM('Lead Pipeline'!$I$5:$I$205)</x:f>
        <x:v>6720</x:v>
      </x:c>
      <x:c r="E5" s="52"/>
      <x:c r="F5" s="53"/>
      <x:c r="G5" s="45" t="n">
        <x:f>COUNTIF('Client CRM'!$C$5:$C$205,"Active")</x:f>
        <x:v>1</x:v>
      </x:c>
      <x:c r="H5" s="46"/>
      <x:c r="I5" s="47"/>
      <x:c r="J5" s="45" t="n">
        <x:f>COUNTIF('Invoice Tracker'!$G$5:$G$205,"Overdue")</x:f>
        <x:v>0</x:v>
      </x:c>
      <x:c r="K5" s="46"/>
      <x:c r="L5" s="47"/>
    </x:row>
    <x:row r="6">
      <x:c r="A6" s="54"/>
      <x:c r="B6" s="55"/>
      <x:c r="C6" s="56"/>
      <x:c r="D6" s="54"/>
      <x:c r="E6" s="55"/>
      <x:c r="F6" s="56"/>
      <x:c r="G6" s="48"/>
      <x:c r="H6" s="49"/>
      <x:c r="I6" s="50"/>
      <x:c r="J6" s="48"/>
      <x:c r="K6" s="49"/>
      <x:c r="L6" s="50"/>
    </x:row>
    <x:row r="9">
      <x:c r="A9" s="8" t="str">
        <x:v>Close Status</x:v>
      </x:c>
      <x:c r="B9" s="8" t="str">
        <x:v>Count</x:v>
      </x:c>
      <x:c r="G9" s="8" t="str">
        <x:v>Invoice Status</x:v>
      </x:c>
      <x:c r="H9" s="8" t="str">
        <x:v>Count</x:v>
      </x:c>
    </x:row>
    <x:row r="10">
      <x:c r="A10" s="13" t="str">
        <x:v>Not Started</x:v>
      </x:c>
      <x:c r="B10" s="13" t="n">
        <x:f>COUNTIF('Monthly Close'!$C$5:$C$205,A10)</x:f>
        <x:v>0</x:v>
      </x:c>
      <x:c r="G10" s="13" t="str">
        <x:v>Draft</x:v>
      </x:c>
      <x:c r="H10" s="13" t="n">
        <x:f>COUNTIF('Invoice Tracker'!$G$5:$G$205,G10)</x:f>
        <x:v>0</x:v>
      </x:c>
    </x:row>
    <x:row r="11">
      <x:c r="A11" s="14" t="str">
        <x:v>Waiting for Documents</x:v>
      </x:c>
      <x:c r="B11" s="14" t="n">
        <x:f>COUNTIF('Monthly Close'!$C$5:$C$205,A11)</x:f>
        <x:v>0</x:v>
      </x:c>
      <x:c r="G11" s="14" t="str">
        <x:v>Sent</x:v>
      </x:c>
      <x:c r="H11" s="14" t="n">
        <x:f>COUNTIF('Invoice Tracker'!$G$5:$G$205,G11)</x:f>
        <x:v>0</x:v>
      </x:c>
    </x:row>
    <x:row r="12">
      <x:c r="A12" s="14" t="str">
        <x:v>In Progress</x:v>
      </x:c>
      <x:c r="B12" s="14" t="n">
        <x:f>COUNTIF('Monthly Close'!$C$5:$C$205,A12)</x:f>
        <x:v>1</x:v>
      </x:c>
      <x:c r="G12" s="14" t="str">
        <x:v>Paid</x:v>
      </x:c>
      <x:c r="H12" s="14" t="n">
        <x:f>COUNTIF('Invoice Tracker'!$G$5:$G$205,G12)</x:f>
        <x:v>1</x:v>
      </x:c>
    </x:row>
    <x:row r="13">
      <x:c r="A13" s="14" t="str">
        <x:v>Client Questions</x:v>
      </x:c>
      <x:c r="B13" s="14" t="n">
        <x:f>COUNTIF('Monthly Close'!$C$5:$C$205,A13)</x:f>
        <x:v>0</x:v>
      </x:c>
      <x:c r="G13" s="14" t="str">
        <x:v>Overdue</x:v>
      </x:c>
      <x:c r="H13" s="14" t="n">
        <x:f>COUNTIF('Invoice Tracker'!$G$5:$G$205,G13)</x:f>
        <x:v>0</x:v>
      </x:c>
    </x:row>
    <x:row r="14">
      <x:c r="A14" s="14" t="str">
        <x:v>Review</x:v>
      </x:c>
      <x:c r="B14" s="14" t="n">
        <x:f>COUNTIF('Monthly Close'!$C$5:$C$205,A14)</x:f>
        <x:v>0</x:v>
      </x:c>
      <x:c r="G14" s="15" t="str">
        <x:v>Void</x:v>
      </x:c>
      <x:c r="H14" s="15" t="n">
        <x:f>COUNTIF('Invoice Tracker'!$G$5:$G$205,G14)</x:f>
        <x:v>0</x:v>
      </x:c>
    </x:row>
    <x:row r="15">
      <x:c r="A15" s="14" t="str">
        <x:v>Complete</x:v>
      </x:c>
      <x:c r="B15" s="14" t="n">
        <x:f>COUNTIF('Monthly Close'!$C$5:$C$205,A15)</x:f>
        <x:v>0</x:v>
      </x:c>
    </x:row>
    <x:row r="16">
      <x:c r="A16" s="15" t="str">
        <x:v>Blocked</x:v>
      </x:c>
      <x:c r="B16" s="15" t="n">
        <x:f>COUNTIF('Monthly Close'!$C$5:$C$205,A16)</x:f>
        <x:v>0</x:v>
      </x:c>
    </x:row>
  </x:sheetData>
  <x:mergeCells>
    <x:mergeCell ref="A1:L1"/>
    <x:mergeCell ref="A2:L2"/>
    <x:mergeCell ref="A4:C4"/>
    <x:mergeCell ref="D4:F4"/>
    <x:mergeCell ref="G4:I4"/>
    <x:mergeCell ref="J4:L4"/>
    <x:mergeCell ref="A5:C6"/>
    <x:mergeCell ref="D5:F6"/>
    <x:mergeCell ref="G5:I6"/>
    <x:mergeCell ref="J5:L6"/>
  </x:mergeCells>
  <x:pageMargins left="0.7" right="0.7" top="0.75" bottom="0.75" header="0.3" footer="0.3"/>
  <x:drawing xmlns:r="http://schemas.openxmlformats.org/officeDocument/2006/relationships" r:id="R5396b56215dc4245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2" hidden="0" customWidth="1"/>
    <x:col min="3" max="3" width="18" hidden="0" customWidth="1"/>
    <x:col min="4" max="4" width="17" hidden="0" customWidth="1"/>
    <x:col min="5" max="5" width="18" hidden="0" customWidth="1"/>
    <x:col min="6" max="6" width="35" hidden="0" customWidth="1"/>
  </x:cols>
  <x:sheetData>
    <x:row r="1" ht="34" customHeight="1">
      <x:c r="A1" s="2" t="str">
        <x:v>Workbook Guide</x:v>
      </x:c>
      <x:c r="B1" s="2"/>
      <x:c r="C1" s="2"/>
      <x:c r="D1" s="2"/>
      <x:c r="E1" s="2"/>
      <x:c r="F1" s="2"/>
    </x:row>
    <x:row r="2" ht="25" customHeight="1">
      <x:c r="A2" s="4" t="str">
        <x:v>Use Setup first, then maintain source sheets on the listed cadence.</x:v>
      </x:c>
      <x:c r="B2" s="4"/>
      <x:c r="C2" s="4"/>
      <x:c r="D2" s="4"/>
      <x:c r="E2" s="4"/>
      <x:c r="F2" s="4"/>
    </x:row>
    <x:row r="4">
      <x:c r="A4" s="8" t="str">
        <x:v>Sheet</x:v>
      </x:c>
      <x:c r="B4" s="8" t="str">
        <x:v>Purpose</x:v>
      </x:c>
      <x:c r="C4" s="8" t="str">
        <x:v>Cadence</x:v>
      </x:c>
      <x:c r="D4" s="8" t="str">
        <x:v>Owner</x:v>
      </x:c>
      <x:c r="E4" s="8" t="str">
        <x:v>Editable area</x:v>
      </x:c>
      <x:c r="F4" s="8" t="str">
        <x:v>Control</x:v>
      </x:c>
    </x:row>
    <x:row r="5">
      <x:c r="A5" s="13" t="str">
        <x:v>Setup</x:v>
      </x:c>
      <x:c r="B5" s="13" t="str">
        <x:v>Practice assumptions</x:v>
      </x:c>
      <x:c r="C5" s="13" t="str">
        <x:v>Quarterly</x:v>
      </x:c>
      <x:c r="D5" s="13" t="str">
        <x:v>Owner</x:v>
      </x:c>
      <x:c r="E5" s="13" t="str">
        <x:v>Yellow cells</x:v>
      </x:c>
      <x:c r="F5" s="13" t="str">
        <x:v>Update first</x:v>
      </x:c>
    </x:row>
    <x:row r="6">
      <x:c r="A6" s="14" t="str">
        <x:v>Dashboard</x:v>
      </x:c>
      <x:c r="B6" s="14" t="str">
        <x:v>Executive overview</x:v>
      </x:c>
      <x:c r="C6" s="14" t="str">
        <x:v>Weekly</x:v>
      </x:c>
      <x:c r="D6" s="14" t="str">
        <x:v>Owner</x:v>
      </x:c>
      <x:c r="E6" s="14" t="str">
        <x:v>None</x:v>
      </x:c>
      <x:c r="F6" s="14" t="str">
        <x:v>Review exceptions</x:v>
      </x:c>
    </x:row>
    <x:row r="7">
      <x:c r="A7" s="14" t="str">
        <x:v>Client CRM</x:v>
      </x:c>
      <x:c r="B7" s="14" t="str">
        <x:v>Client scope and health</x:v>
      </x:c>
      <x:c r="C7" s="14" t="str">
        <x:v>Weekly</x:v>
      </x:c>
      <x:c r="D7" s="14" t="str">
        <x:v>Client lead</x:v>
      </x:c>
      <x:c r="E7" s="14" t="str">
        <x:v>Rows 5+</x:v>
      </x:c>
      <x:c r="F7" s="14" t="str">
        <x:v>Keep next review current</x:v>
      </x:c>
    </x:row>
    <x:row r="8">
      <x:c r="A8" s="14" t="str">
        <x:v>Lead Pipeline</x:v>
      </x:c>
      <x:c r="B8" s="14" t="str">
        <x:v>Sales opportunities</x:v>
      </x:c>
      <x:c r="C8" s="14" t="str">
        <x:v>Daily</x:v>
      </x:c>
      <x:c r="D8" s="14" t="str">
        <x:v>Sales</x:v>
      </x:c>
      <x:c r="E8" s="14" t="str">
        <x:v>Rows 5+</x:v>
      </x:c>
      <x:c r="F8" s="14" t="str">
        <x:v>Dated next action</x:v>
      </x:c>
    </x:row>
    <x:row r="9">
      <x:c r="A9" s="14" t="str">
        <x:v>Pricing Calculator</x:v>
      </x:c>
      <x:c r="B9" s="14" t="str">
        <x:v>Scope-to-price model</x:v>
      </x:c>
      <x:c r="C9" s="14" t="str">
        <x:v>Per proposal</x:v>
      </x:c>
      <x:c r="D9" s="14" t="str">
        <x:v>Owner</x:v>
      </x:c>
      <x:c r="E9" s="14" t="str">
        <x:v>Yellow cells</x:v>
      </x:c>
      <x:c r="F9" s="14" t="str">
        <x:v>Validate complexity</x:v>
      </x:c>
    </x:row>
    <x:row r="10">
      <x:c r="A10" s="14" t="str">
        <x:v>Monthly Close</x:v>
      </x:c>
      <x:c r="B10" s="14" t="str">
        <x:v>Production control</x:v>
      </x:c>
      <x:c r="C10" s="14" t="str">
        <x:v>Daily</x:v>
      </x:c>
      <x:c r="D10" s="14" t="str">
        <x:v>Bookkeeper</x:v>
      </x:c>
      <x:c r="E10" s="14" t="str">
        <x:v>Rows 5+</x:v>
      </x:c>
      <x:c r="F10" s="14" t="str">
        <x:v>Reviewer sign-off</x:v>
      </x:c>
    </x:row>
    <x:row r="11">
      <x:c r="A11" s="14" t="str">
        <x:v>Invoice Tracker</x:v>
      </x:c>
      <x:c r="B11" s="14" t="str">
        <x:v>Billing and collections</x:v>
      </x:c>
      <x:c r="C11" s="14" t="str">
        <x:v>Weekly</x:v>
      </x:c>
      <x:c r="D11" s="14" t="str">
        <x:v>Admin</x:v>
      </x:c>
      <x:c r="E11" s="14" t="str">
        <x:v>Rows 5+</x:v>
      </x:c>
      <x:c r="F11" s="14" t="str">
        <x:v>Follow overdue items</x:v>
      </x:c>
    </x:row>
    <x:row r="12">
      <x:c r="A12" s="14" t="str">
        <x:v>Tax Documents</x:v>
      </x:c>
      <x:c r="B12" s="14" t="str">
        <x:v>Year-end collection</x:v>
      </x:c>
      <x:c r="C12" s="14" t="str">
        <x:v>Seasonal</x:v>
      </x:c>
      <x:c r="D12" s="14" t="str">
        <x:v>Bookkeeper</x:v>
      </x:c>
      <x:c r="E12" s="14" t="str">
        <x:v>Rows 5+</x:v>
      </x:c>
      <x:c r="F12" s="14" t="str">
        <x:v>Confirm with tax professional</x:v>
      </x:c>
    </x:row>
    <x:row r="13">
      <x:c r="A13" s="14" t="str">
        <x:v>Capacity</x:v>
      </x:c>
      <x:c r="B13" s="14" t="str">
        <x:v>Profitability and workload</x:v>
      </x:c>
      <x:c r="C13" s="14" t="str">
        <x:v>Monthly</x:v>
      </x:c>
      <x:c r="D13" s="14" t="str">
        <x:v>Owner</x:v>
      </x:c>
      <x:c r="E13" s="14" t="str">
        <x:v>Rows 5+</x:v>
      </x:c>
      <x:c r="F13" s="14" t="str">
        <x:v>Compare estimated vs actual</x:v>
      </x:c>
    </x:row>
    <x:row r="14">
      <x:c r="A14" s="15" t="str">
        <x:v>Instructions</x:v>
      </x:c>
      <x:c r="B14" s="15" t="str">
        <x:v>Operating guide</x:v>
      </x:c>
      <x:c r="C14" s="15" t="str">
        <x:v>As needed</x:v>
      </x:c>
      <x:c r="D14" s="15" t="str">
        <x:v>Team</x:v>
      </x:c>
      <x:c r="E14" s="15" t="str">
        <x:v>None</x:v>
      </x:c>
      <x:c r="F14" s="15" t="str">
        <x:v>Duplicate before major edits</x:v>
      </x:c>
    </x:row>
  </x:sheetData>
  <x:mergeCells>
    <x:mergeCell ref="A1:F1"/>
    <x:mergeCell ref="A2:F2"/>
  </x:mergeCells>
  <x:pageMargins left="0.7" right="0.7" top="0.75" bottom="0.75" header="0.3" footer="0.3"/>
</x:worksheet>
</file>