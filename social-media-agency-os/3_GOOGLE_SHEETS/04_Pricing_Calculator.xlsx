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💲 Pricing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&quot;%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ECF0F1"/>
      <sz val="10"/>
    </font>
    <font>
      <name val="Calibri"/>
      <b val="1"/>
      <color rgb="00FFFFFF"/>
      <sz val="12"/>
    </font>
    <font>
      <name val="Calibri"/>
      <color rgb="001A1A2E"/>
      <sz val="10"/>
    </font>
    <font>
      <name val="Calibri"/>
      <color rgb="0027AE60"/>
      <sz val="10"/>
    </font>
    <font>
      <name val="Calibri"/>
      <b val="1"/>
      <color rgb="00FFFFFF"/>
      <sz val="10"/>
    </font>
    <font>
      <name val="Calibri"/>
      <b val="1"/>
      <color rgb="0027AE60"/>
      <sz val="10"/>
    </font>
    <font>
      <name val="Calibri"/>
      <b val="1"/>
      <color rgb="001A1A2E"/>
      <sz val="10"/>
    </font>
  </fonts>
  <fills count="11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FFFFF"/>
      </patternFill>
    </fill>
    <fill>
      <patternFill patternType="solid">
        <fgColor rgb="00FFEAA7"/>
      </patternFill>
    </fill>
    <fill>
      <patternFill patternType="solid">
        <fgColor rgb="00ECF0F1"/>
      </patternFill>
    </fill>
    <fill>
      <patternFill patternType="solid">
        <fgColor rgb="001A5276"/>
      </patternFill>
    </fill>
    <fill>
      <patternFill patternType="solid">
        <fgColor rgb="00EAFAF1"/>
      </patternFill>
    </fill>
    <fill>
      <patternFill patternType="solid">
        <fgColor rgb="00EAF4FB"/>
      </patternFill>
    </fill>
    <fill>
      <patternFill patternType="solid">
        <fgColor rgb="00FDF2F8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164" fontId="7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center" vertical="center" wrapText="1"/>
    </xf>
    <xf numFmtId="164" fontId="7" fillId="10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165" fontId="7" fillId="10" borderId="1" applyAlignment="1" pivotButton="0" quotePrefix="0" xfId="0">
      <alignment horizontal="center" vertical="center" wrapText="1"/>
    </xf>
    <xf numFmtId="165" fontId="7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 ht="36" customHeight="1">
      <c r="A1" s="1" t="inlineStr">
        <is>
          <t>SMM AGENCY — PRICING CALCULATOR</t>
        </is>
      </c>
    </row>
    <row r="2" ht="18" customHeight="1">
      <c r="A2" s="2" t="inlineStr">
        <is>
          <t>Build your package pricing based on YOUR costs and desired profit margin</t>
        </is>
      </c>
    </row>
    <row r="3" ht="10" customHeight="1"/>
    <row r="4" ht="26" customHeight="1">
      <c r="A4" s="3" t="inlineStr">
        <is>
          <t>STEP 1 — SET YOUR BASE HOURLY RATE</t>
        </is>
      </c>
    </row>
    <row r="5" ht="22" customHeight="1">
      <c r="A5" s="4" t="inlineStr">
        <is>
          <t>Desired Annual Income (€)</t>
        </is>
      </c>
      <c r="B5" s="5" t="n">
        <v>60000</v>
      </c>
      <c r="C5" s="4" t="inlineStr">
        <is>
          <t>What do you want to earn per year?</t>
        </is>
      </c>
    </row>
    <row r="6" ht="22" customHeight="1">
      <c r="A6" s="6" t="inlineStr">
        <is>
          <t>Billable Hours per Week</t>
        </is>
      </c>
      <c r="B6" s="7" t="n">
        <v>25</v>
      </c>
      <c r="C6" s="6" t="inlineStr">
        <is>
          <t>Hours actually spent on client work</t>
        </is>
      </c>
    </row>
    <row r="7" ht="22" customHeight="1">
      <c r="A7" s="4" t="inlineStr">
        <is>
          <t>Weeks Working per Year</t>
        </is>
      </c>
      <c r="B7" s="7" t="n">
        <v>48</v>
      </c>
      <c r="C7" s="4" t="inlineStr">
        <is>
          <t>Allow 4 weeks vacation</t>
        </is>
      </c>
    </row>
    <row r="8" ht="22" customHeight="1">
      <c r="A8" s="6" t="inlineStr">
        <is>
          <t>Business Overhead / Month (€)</t>
        </is>
      </c>
      <c r="B8" s="5" t="n">
        <v>400</v>
      </c>
      <c r="C8" s="6" t="inlineStr">
        <is>
          <t>Tools, software, equipment</t>
        </is>
      </c>
    </row>
    <row r="9" ht="22" customHeight="1">
      <c r="A9" s="4" t="inlineStr">
        <is>
          <t>Tax Rate (%)</t>
        </is>
      </c>
      <c r="B9" s="5" t="n">
        <v>30</v>
      </c>
      <c r="C9" s="4" t="inlineStr">
        <is>
          <t>Your estimated tax rate</t>
        </is>
      </c>
    </row>
    <row r="10" ht="22" customHeight="1"/>
    <row r="11" ht="22" customHeight="1">
      <c r="A11" s="4" t="inlineStr">
        <is>
          <t>ANNUAL BILLABLE HOURS</t>
        </is>
      </c>
      <c r="B11" s="8">
        <f>B6*B7</f>
        <v/>
      </c>
      <c r="C11" s="4" t="inlineStr">
        <is>
          <t>AUTO</t>
        </is>
      </c>
    </row>
    <row r="12" ht="22" customHeight="1">
      <c r="A12" s="6" t="inlineStr">
        <is>
          <t>OVERHEAD PER YEAR (€)</t>
        </is>
      </c>
      <c r="B12" s="9">
        <f>B9*12</f>
        <v/>
      </c>
      <c r="C12" s="6" t="inlineStr">
        <is>
          <t>AUTO</t>
        </is>
      </c>
    </row>
    <row r="13" ht="22" customHeight="1">
      <c r="A13" s="4" t="inlineStr">
        <is>
          <t>GROSS INCOME NEEDED (€)</t>
        </is>
      </c>
      <c r="B13" s="9">
        <f>B5/(1-B10/100)+B12</f>
        <v/>
      </c>
      <c r="C13" s="4" t="inlineStr">
        <is>
          <t>AUTO — income + taxes + overhead</t>
        </is>
      </c>
    </row>
    <row r="14" ht="22" customHeight="1">
      <c r="A14" s="10" t="inlineStr">
        <is>
          <t>YOUR MINIMUM HOURLY RATE (€)</t>
        </is>
      </c>
      <c r="B14" s="11">
        <f>B13/B11</f>
        <v/>
      </c>
      <c r="C14" s="12" t="inlineStr">
        <is>
          <t>Minimum to reach your goal</t>
        </is>
      </c>
    </row>
    <row r="15" ht="22" customHeight="1">
      <c r="A15" s="10" t="inlineStr">
        <is>
          <t>RECOMMENDED RATE (€)</t>
        </is>
      </c>
      <c r="B15" s="11">
        <f>B14*1.3</f>
        <v/>
      </c>
      <c r="C15" s="12" t="inlineStr">
        <is>
          <t>30% buffer for non-billable time</t>
        </is>
      </c>
    </row>
    <row r="18" ht="10" customHeight="1"/>
    <row r="19" ht="26" customHeight="1">
      <c r="A19" s="3" t="inlineStr">
        <is>
          <t>STEP 2 — BUILD YOUR PACKAGES</t>
        </is>
      </c>
    </row>
    <row r="20" ht="22" customHeight="1">
      <c r="A20" s="13" t="inlineStr">
        <is>
          <t>SERVICE / DELIVERABLE</t>
        </is>
      </c>
      <c r="B20" s="13" t="inlineStr">
        <is>
          <t>HRS/MONTH</t>
        </is>
      </c>
      <c r="C20" s="13" t="inlineStr">
        <is>
          <t>STARTER</t>
        </is>
      </c>
      <c r="D20" s="13" t="inlineStr">
        <is>
          <t>GROWTH</t>
        </is>
      </c>
      <c r="E20" s="13" t="inlineStr">
        <is>
          <t>AGENCY</t>
        </is>
      </c>
      <c r="F20" s="13" t="inlineStr">
        <is>
          <t>NOTES</t>
        </is>
      </c>
    </row>
    <row r="21" ht="20" customHeight="1">
      <c r="A21" s="14" t="inlineStr">
        <is>
          <t>Strategy &amp; Planning</t>
        </is>
      </c>
      <c r="B21" s="15" t="n">
        <v>3</v>
      </c>
      <c r="C21" s="16" t="inlineStr">
        <is>
          <t>✓</t>
        </is>
      </c>
      <c r="D21" s="17" t="inlineStr">
        <is>
          <t>✓</t>
        </is>
      </c>
      <c r="E21" s="18" t="inlineStr">
        <is>
          <t>✓</t>
        </is>
      </c>
      <c r="F21" s="4" t="inlineStr">
        <is>
          <t>Per month</t>
        </is>
      </c>
    </row>
    <row r="22" ht="20" customHeight="1">
      <c r="A22" s="19" t="inlineStr">
        <is>
          <t>Feed Posts (per post)</t>
        </is>
      </c>
      <c r="B22" s="20" t="n">
        <v>0.75</v>
      </c>
      <c r="C22" s="21" t="n">
        <v>8</v>
      </c>
      <c r="D22" s="22" t="n">
        <v>16</v>
      </c>
      <c r="E22" s="23" t="n">
        <v>24</v>
      </c>
      <c r="F22" s="6" t="inlineStr">
        <is>
          <t>Posts included</t>
        </is>
      </c>
    </row>
    <row r="23" ht="20" customHeight="1">
      <c r="A23" s="14" t="inlineStr">
        <is>
          <t>Instagram Stories</t>
        </is>
      </c>
      <c r="B23" s="15" t="n">
        <v>0.25</v>
      </c>
      <c r="C23" s="21" t="n">
        <v>15</v>
      </c>
      <c r="D23" s="22" t="n">
        <v>25</v>
      </c>
      <c r="E23" s="23" t="n">
        <v>35</v>
      </c>
      <c r="F23" s="4" t="inlineStr">
        <is>
          <t>Stories/month</t>
        </is>
      </c>
    </row>
    <row r="24" ht="20" customHeight="1">
      <c r="A24" s="19" t="inlineStr">
        <is>
          <t>Reels / Short Video</t>
        </is>
      </c>
      <c r="B24" s="20" t="n">
        <v>1.5</v>
      </c>
      <c r="C24" s="21" t="n">
        <v>2</v>
      </c>
      <c r="D24" s="22" t="n">
        <v>4</v>
      </c>
      <c r="E24" s="23" t="n">
        <v>8</v>
      </c>
      <c r="F24" s="6" t="inlineStr">
        <is>
          <t>Videos/month</t>
        </is>
      </c>
    </row>
    <row r="25" ht="20" customHeight="1">
      <c r="A25" s="14" t="inlineStr">
        <is>
          <t>Community Management</t>
        </is>
      </c>
      <c r="B25" s="15" t="n">
        <v>0.5</v>
      </c>
      <c r="C25" s="21" t="n">
        <v>2</v>
      </c>
      <c r="D25" s="22" t="n">
        <v>5</v>
      </c>
      <c r="E25" s="23" t="n">
        <v>10</v>
      </c>
      <c r="F25" s="4" t="inlineStr">
        <is>
          <t>Hours/month</t>
        </is>
      </c>
    </row>
    <row r="26" ht="20" customHeight="1">
      <c r="A26" s="19" t="inlineStr">
        <is>
          <t>Hashtag Research</t>
        </is>
      </c>
      <c r="B26" s="20" t="n">
        <v>1</v>
      </c>
      <c r="C26" s="16" t="inlineStr">
        <is>
          <t>✓</t>
        </is>
      </c>
      <c r="D26" s="17" t="inlineStr">
        <is>
          <t>✓</t>
        </is>
      </c>
      <c r="E26" s="18" t="inlineStr">
        <is>
          <t>✓</t>
        </is>
      </c>
      <c r="F26" s="6" t="inlineStr">
        <is>
          <t>Monthly refresh</t>
        </is>
      </c>
    </row>
    <row r="27" ht="20" customHeight="1">
      <c r="A27" s="14" t="inlineStr">
        <is>
          <t>Monthly Report</t>
        </is>
      </c>
      <c r="B27" s="15" t="n">
        <v>1.5</v>
      </c>
      <c r="C27" s="16" t="inlineStr">
        <is>
          <t>✓</t>
        </is>
      </c>
      <c r="D27" s="17" t="inlineStr">
        <is>
          <t>✓</t>
        </is>
      </c>
      <c r="E27" s="18" t="inlineStr">
        <is>
          <t>✓</t>
        </is>
      </c>
      <c r="F27" s="4" t="inlineStr">
        <is>
          <t>With insights</t>
        </is>
      </c>
    </row>
    <row r="28" ht="20" customHeight="1">
      <c r="A28" s="19" t="inlineStr">
        <is>
          <t>Monthly Strategy Call</t>
        </is>
      </c>
      <c r="B28" s="20" t="n">
        <v>0.5</v>
      </c>
      <c r="C28" s="16" t="inlineStr">
        <is>
          <t>—</t>
        </is>
      </c>
      <c r="D28" s="17" t="inlineStr">
        <is>
          <t>✓</t>
        </is>
      </c>
      <c r="E28" s="18" t="inlineStr">
        <is>
          <t>✓</t>
        </is>
      </c>
      <c r="F28" s="6" t="inlineStr">
        <is>
          <t>Video call</t>
        </is>
      </c>
    </row>
    <row r="29" ht="20" customHeight="1">
      <c r="A29" s="14" t="inlineStr">
        <is>
          <t>Second Platform</t>
        </is>
      </c>
      <c r="B29" s="15" t="n">
        <v>2</v>
      </c>
      <c r="C29" s="16" t="inlineStr">
        <is>
          <t>—</t>
        </is>
      </c>
      <c r="D29" s="17" t="inlineStr">
        <is>
          <t>✓</t>
        </is>
      </c>
      <c r="E29" s="18" t="inlineStr">
        <is>
          <t>✓</t>
        </is>
      </c>
      <c r="F29" s="4" t="inlineStr">
        <is>
          <t>IG+FB or +LinkedIn</t>
        </is>
      </c>
    </row>
    <row r="30" ht="20" customHeight="1">
      <c r="A30" s="19" t="inlineStr">
        <is>
          <t>Third Platform</t>
        </is>
      </c>
      <c r="B30" s="20" t="n">
        <v>2</v>
      </c>
      <c r="C30" s="16" t="inlineStr">
        <is>
          <t>—</t>
        </is>
      </c>
      <c r="D30" s="17" t="inlineStr">
        <is>
          <t>—</t>
        </is>
      </c>
      <c r="E30" s="18" t="inlineStr">
        <is>
          <t>✓</t>
        </is>
      </c>
      <c r="F30" s="6" t="inlineStr">
        <is>
          <t>Full third platform</t>
        </is>
      </c>
    </row>
    <row r="31" ht="20" customHeight="1">
      <c r="A31" s="14" t="inlineStr">
        <is>
          <t>Paid Ads Management</t>
        </is>
      </c>
      <c r="B31" s="15" t="n">
        <v>3</v>
      </c>
      <c r="C31" s="16" t="inlineStr">
        <is>
          <t>—</t>
        </is>
      </c>
      <c r="D31" s="17" t="inlineStr">
        <is>
          <t>—</t>
        </is>
      </c>
      <c r="E31" s="18" t="inlineStr">
        <is>
          <t>✓</t>
        </is>
      </c>
      <c r="F31" s="4" t="inlineStr">
        <is>
          <t>+ 10% of ad spend</t>
        </is>
      </c>
    </row>
    <row r="32" ht="20" customHeight="1">
      <c r="A32" s="19" t="inlineStr">
        <is>
          <t>Competitor Analysis</t>
        </is>
      </c>
      <c r="B32" s="20" t="n">
        <v>1</v>
      </c>
      <c r="C32" s="16" t="inlineStr">
        <is>
          <t>—</t>
        </is>
      </c>
      <c r="D32" s="17" t="inlineStr">
        <is>
          <t>✓</t>
        </is>
      </c>
      <c r="E32" s="18" t="inlineStr">
        <is>
          <t>✓</t>
        </is>
      </c>
      <c r="F32" s="6" t="inlineStr">
        <is>
          <t>Monthly</t>
        </is>
      </c>
    </row>
    <row r="33" ht="20" customHeight="1">
      <c r="A33" s="14" t="inlineStr">
        <is>
          <t>Content Approval Rounds</t>
        </is>
      </c>
      <c r="B33" s="15" t="n">
        <v>0</v>
      </c>
      <c r="C33" s="21" t="n">
        <v>1</v>
      </c>
      <c r="D33" s="22" t="n">
        <v>2</v>
      </c>
      <c r="E33" s="23" t="n">
        <v>3</v>
      </c>
      <c r="F33" s="4" t="inlineStr">
        <is>
          <t>Included rounds</t>
        </is>
      </c>
    </row>
    <row r="34" ht="20" customHeight="1">
      <c r="A34" s="19" t="inlineStr">
        <is>
          <t>Response Time Guarantee</t>
        </is>
      </c>
      <c r="B34" s="20" t="n">
        <v>0</v>
      </c>
      <c r="C34" s="16" t="inlineStr">
        <is>
          <t>48h</t>
        </is>
      </c>
      <c r="D34" s="17" t="inlineStr">
        <is>
          <t>24h</t>
        </is>
      </c>
      <c r="E34" s="18" t="inlineStr">
        <is>
          <t>4h</t>
        </is>
      </c>
      <c r="F34" s="6" t="inlineStr">
        <is>
          <t>Business hours</t>
        </is>
      </c>
    </row>
    <row r="36" ht="10" customHeight="1"/>
    <row r="37" ht="26" customHeight="1">
      <c r="A37" s="3" t="inlineStr">
        <is>
          <t>PACKAGE PRICING SUMMARY</t>
        </is>
      </c>
    </row>
    <row r="38" ht="22" customHeight="1">
      <c r="A38" s="13" t="inlineStr">
        <is>
          <t>METRIC</t>
        </is>
      </c>
      <c r="B38" s="13" t="inlineStr">
        <is>
          <t>STARTER</t>
        </is>
      </c>
      <c r="C38" s="13" t="inlineStr">
        <is>
          <t>GROWTH</t>
        </is>
      </c>
      <c r="D38" s="13" t="inlineStr">
        <is>
          <t>AGENCY</t>
        </is>
      </c>
    </row>
    <row r="39" ht="22" customHeight="1">
      <c r="A39" s="14" t="inlineStr">
        <is>
          <t>Recommended Price (€/month)</t>
        </is>
      </c>
      <c r="B39" s="24" t="n">
        <v>997</v>
      </c>
      <c r="C39" s="24" t="n">
        <v>1997</v>
      </c>
      <c r="D39" s="24" t="n">
        <v>3497</v>
      </c>
    </row>
    <row r="40" ht="22" customHeight="1">
      <c r="A40" s="19" t="inlineStr">
        <is>
          <t>Est. Hours / Month</t>
        </is>
      </c>
      <c r="B40" s="21" t="n">
        <v>12</v>
      </c>
      <c r="C40" s="22" t="n">
        <v>22</v>
      </c>
      <c r="D40" s="23" t="n">
        <v>38</v>
      </c>
    </row>
    <row r="41" ht="22" customHeight="1">
      <c r="A41" s="14" t="inlineStr">
        <is>
          <t>Your Cost (time × rate €75)</t>
        </is>
      </c>
      <c r="B41" s="25">
        <f>B40*75</f>
        <v/>
      </c>
      <c r="C41" s="26">
        <f>C40*75</f>
        <v/>
      </c>
      <c r="D41" s="11">
        <f>D40*75</f>
        <v/>
      </c>
    </row>
    <row r="42" ht="22" customHeight="1">
      <c r="A42" s="19" t="inlineStr">
        <is>
          <t>Profit (€)</t>
        </is>
      </c>
      <c r="B42" s="25">
        <f>B39-B41</f>
        <v/>
      </c>
      <c r="C42" s="26">
        <f>C39-C41</f>
        <v/>
      </c>
      <c r="D42" s="11">
        <f>D39-D41</f>
        <v/>
      </c>
    </row>
    <row r="43" ht="22" customHeight="1">
      <c r="A43" s="14" t="inlineStr">
        <is>
          <t>Profit Margin (%)</t>
        </is>
      </c>
      <c r="B43" s="27">
        <f>B42/B39*100</f>
        <v/>
      </c>
      <c r="C43" s="28">
        <f>C42/C39*100</f>
        <v/>
      </c>
      <c r="D43" s="29">
        <f>D42/D39*100</f>
        <v/>
      </c>
    </row>
    <row r="44" ht="22" customHeight="1">
      <c r="A44" s="19" t="inlineStr">
        <is>
          <t>Annual Value per Client (€)</t>
        </is>
      </c>
      <c r="B44" s="25">
        <f>B39*12</f>
        <v/>
      </c>
      <c r="C44" s="26">
        <f>C39*12</f>
        <v/>
      </c>
      <c r="D44" s="11">
        <f>D39*12</f>
        <v/>
      </c>
    </row>
  </sheetData>
  <mergeCells count="15">
    <mergeCell ref="A8"/>
    <mergeCell ref="A14"/>
    <mergeCell ref="A6"/>
    <mergeCell ref="A19:G19"/>
    <mergeCell ref="A1:G1"/>
    <mergeCell ref="A9"/>
    <mergeCell ref="A12"/>
    <mergeCell ref="A15"/>
    <mergeCell ref="A7"/>
    <mergeCell ref="A4:G4"/>
    <mergeCell ref="A37:B37"/>
    <mergeCell ref="A2:G2"/>
    <mergeCell ref="A13"/>
    <mergeCell ref="A11"/>
    <mergeCell ref="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2026-06-20T22:43:12Z</dcterms:created>
  <dcterms:modified xsi:type="dcterms:W3CDTF">2026-06-20T22:43:12Z</dcterms:modified>
</cp:coreProperties>
</file>