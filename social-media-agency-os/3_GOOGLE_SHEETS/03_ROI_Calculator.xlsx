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💰 ROI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&quot;%&quot;"/>
    <numFmt numFmtId="166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CF0F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27AE60"/>
      <sz val="10"/>
    </font>
    <font>
      <name val="Calibri"/>
      <b val="1"/>
      <color rgb="001A1A2E"/>
      <sz val="10"/>
    </font>
    <font>
      <name val="Calibri"/>
      <b val="1"/>
      <color rgb="00FFFFFF"/>
      <sz val="11"/>
    </font>
    <font>
      <name val="Calibri"/>
      <b val="1"/>
      <color rgb="0027AE60"/>
      <sz val="12"/>
    </font>
    <font>
      <name val="Calibri"/>
      <b val="1"/>
      <color rgb="0027AE60"/>
      <sz val="11"/>
    </font>
    <font>
      <name val="Calibri"/>
      <color rgb="002980B9"/>
      <sz val="10"/>
    </font>
  </fonts>
  <fills count="1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EAA7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EAFAF1"/>
      </patternFill>
    </fill>
    <fill>
      <patternFill patternType="solid">
        <fgColor rgb="00EAF4FB"/>
      </patternFill>
    </fill>
  </fills>
  <borders count="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164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  <xf numFmtId="164" fontId="10" fillId="8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166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SMM AGENCY — ROI CALCULATOR</t>
        </is>
      </c>
    </row>
    <row r="2" ht="18" customHeight="1">
      <c r="A2" s="2" t="inlineStr">
        <is>
          <t>Prove the value of social media to your clients — Fill YELLOW cells</t>
        </is>
      </c>
    </row>
    <row r="3" ht="10" customHeight="1"/>
    <row r="4" ht="26" customHeight="1">
      <c r="A4" s="3" t="inlineStr">
        <is>
          <t>A — YOUR INVESTMENT (Monthly)</t>
        </is>
      </c>
    </row>
    <row r="5" ht="22" customHeight="1">
      <c r="A5" s="4" t="inlineStr">
        <is>
          <t>INPUT FIELD</t>
        </is>
      </c>
      <c r="C5" s="4" t="inlineStr">
        <is>
          <t>AMOUNT (€)</t>
        </is>
      </c>
      <c r="D5" s="4" t="inlineStr">
        <is>
          <t>NOTES</t>
        </is>
      </c>
    </row>
    <row r="6" ht="22" customHeight="1">
      <c r="A6" s="5" t="inlineStr">
        <is>
          <t>SMM Monthly Retainer (€)</t>
        </is>
      </c>
      <c r="B6" s="6" t="n"/>
      <c r="C6" s="7" t="n">
        <v>1500</v>
      </c>
      <c r="D6" s="5" t="inlineStr"/>
    </row>
    <row r="7" ht="22" customHeight="1">
      <c r="A7" s="8" t="inlineStr">
        <is>
          <t>Ad Spend Budget (€)</t>
        </is>
      </c>
      <c r="B7" s="6" t="n"/>
      <c r="C7" s="7" t="n">
        <v>300</v>
      </c>
      <c r="D7" s="8" t="inlineStr">
        <is>
          <t>If running paid ads</t>
        </is>
      </c>
    </row>
    <row r="8" ht="22" customHeight="1">
      <c r="A8" s="5" t="inlineStr">
        <is>
          <t>Photography / Video (€)</t>
        </is>
      </c>
      <c r="B8" s="6" t="n"/>
      <c r="C8" s="7" t="n">
        <v>200</v>
      </c>
      <c r="D8" s="5" t="inlineStr">
        <is>
          <t>If included in scope</t>
        </is>
      </c>
    </row>
    <row r="9" ht="22" customHeight="1">
      <c r="A9" s="8" t="inlineStr">
        <is>
          <t>Tools &amp; Software (€)</t>
        </is>
      </c>
      <c r="B9" s="6" t="n"/>
      <c r="C9" s="7" t="n">
        <v>80</v>
      </c>
      <c r="D9" s="8" t="inlineStr">
        <is>
          <t>Canva, scheduler, analytics</t>
        </is>
      </c>
    </row>
    <row r="10" ht="22" customHeight="1">
      <c r="A10" s="9" t="inlineStr">
        <is>
          <t>TOTAL MONTHLY INVESTMENT (€)</t>
        </is>
      </c>
      <c r="B10" s="6" t="n"/>
      <c r="C10" s="10">
        <f>B6+B7+B8+B9</f>
        <v/>
      </c>
      <c r="D10" s="5" t="inlineStr">
        <is>
          <t>AUTO-CALCULATED</t>
        </is>
      </c>
    </row>
    <row r="12" ht="10" customHeight="1"/>
    <row r="13" ht="26" customHeight="1">
      <c r="A13" s="3" t="inlineStr">
        <is>
          <t>B — RESULTS THIS MONTH (Social Media Attributable)</t>
        </is>
      </c>
    </row>
    <row r="14" ht="22" customHeight="1">
      <c r="A14" s="11" t="inlineStr">
        <is>
          <t>RESULT TYPE</t>
        </is>
      </c>
      <c r="B14" s="11" t="inlineStr">
        <is>
          <t>HOW MANY</t>
        </is>
      </c>
      <c r="C14" s="11" t="inlineStr">
        <is>
          <t>VALUE EACH (€)</t>
        </is>
      </c>
      <c r="D14" s="11" t="inlineStr">
        <is>
          <t>TOTAL VALUE (€)</t>
        </is>
      </c>
      <c r="E14" s="11" t="inlineStr">
        <is>
          <t>NOTES</t>
        </is>
      </c>
    </row>
    <row r="15" ht="22" customHeight="1">
      <c r="A15" s="12" t="inlineStr">
        <is>
          <t>New Clients from Social Media</t>
        </is>
      </c>
      <c r="B15" s="13" t="n">
        <v>2</v>
      </c>
      <c r="C15" s="7" t="n">
        <v>1500</v>
      </c>
      <c r="D15" s="10">
        <f>B15*C15</f>
        <v/>
      </c>
      <c r="E15" s="8" t="inlineStr">
        <is>
          <t>Avg client value (monthly)</t>
        </is>
      </c>
    </row>
    <row r="16" ht="22" customHeight="1">
      <c r="A16" s="14" t="inlineStr">
        <is>
          <t>Products Sold via Social</t>
        </is>
      </c>
      <c r="B16" s="13" t="n">
        <v>0</v>
      </c>
      <c r="C16" s="7" t="n">
        <v>0</v>
      </c>
      <c r="D16" s="10">
        <f>B16*C16</f>
        <v/>
      </c>
      <c r="E16" s="5" t="inlineStr">
        <is>
          <t>For e-commerce clients</t>
        </is>
      </c>
    </row>
    <row r="17" ht="22" customHeight="1">
      <c r="A17" s="12" t="inlineStr">
        <is>
          <t>Discovery Calls Booked</t>
        </is>
      </c>
      <c r="B17" s="13" t="n">
        <v>5</v>
      </c>
      <c r="C17" s="7" t="n">
        <v>300</v>
      </c>
      <c r="D17" s="10">
        <f>B17*C17</f>
        <v/>
      </c>
      <c r="E17" s="8" t="inlineStr">
        <is>
          <t>Est. value per call</t>
        </is>
      </c>
    </row>
    <row r="18" ht="22" customHeight="1">
      <c r="A18" s="14" t="inlineStr">
        <is>
          <t>Email Subscribers Gained</t>
        </is>
      </c>
      <c r="B18" s="13" t="n">
        <v>80</v>
      </c>
      <c r="C18" s="7" t="n">
        <v>15</v>
      </c>
      <c r="D18" s="10">
        <f>B18*C18</f>
        <v/>
      </c>
      <c r="E18" s="5" t="inlineStr">
        <is>
          <t>Est. LTV per subscriber</t>
        </is>
      </c>
    </row>
    <row r="19" ht="22" customHeight="1">
      <c r="A19" s="12" t="inlineStr">
        <is>
          <t>Event Attendees from Social</t>
        </is>
      </c>
      <c r="B19" s="13" t="n">
        <v>0</v>
      </c>
      <c r="C19" s="7" t="n">
        <v>0</v>
      </c>
      <c r="D19" s="10">
        <f>B19*C19</f>
        <v/>
      </c>
      <c r="E19" s="8" t="inlineStr">
        <is>
          <t>Ticket value per person</t>
        </is>
      </c>
    </row>
    <row r="20" ht="22" customHeight="1">
      <c r="A20" s="14" t="inlineStr">
        <is>
          <t>Brand Deals / Partnerships</t>
        </is>
      </c>
      <c r="B20" s="13" t="n">
        <v>0</v>
      </c>
      <c r="C20" s="7" t="n">
        <v>0</v>
      </c>
      <c r="D20" s="10">
        <f>B20*C20</f>
        <v/>
      </c>
      <c r="E20" s="5" t="inlineStr">
        <is>
          <t>Value of each deal</t>
        </is>
      </c>
    </row>
    <row r="21" ht="24" customHeight="1">
      <c r="A21" s="15" t="inlineStr">
        <is>
          <t>TOTAL REVENUE ATTRIBUTED TO SOCIAL MEDIA</t>
        </is>
      </c>
      <c r="D21" s="16">
        <f>SUM(D15:D20)</f>
        <v/>
      </c>
    </row>
    <row r="23" ht="10" customHeight="1"/>
    <row r="24" ht="26" customHeight="1">
      <c r="A24" s="3" t="inlineStr">
        <is>
          <t>C — ROI SUMMARY</t>
        </is>
      </c>
    </row>
    <row r="25" ht="24" customHeight="1">
      <c r="A25" s="8" t="inlineStr">
        <is>
          <t>Total Investment (€)</t>
        </is>
      </c>
      <c r="B25" s="17">
        <f>B10</f>
        <v/>
      </c>
      <c r="C25" s="8" t="inlineStr">
        <is>
          <t>Monthly cost of social media</t>
        </is>
      </c>
    </row>
    <row r="26" ht="24" customHeight="1">
      <c r="A26" s="5" t="inlineStr">
        <is>
          <t>Total Revenue Attributed (€)</t>
        </is>
      </c>
      <c r="B26" s="17">
        <f>D21</f>
        <v/>
      </c>
      <c r="C26" s="5" t="inlineStr">
        <is>
          <t>Revenue from social this month</t>
        </is>
      </c>
    </row>
    <row r="27" ht="24" customHeight="1">
      <c r="A27" s="8" t="inlineStr">
        <is>
          <t>Net Profit from Social (€)</t>
        </is>
      </c>
      <c r="B27" s="17">
        <f>B26-B25</f>
        <v/>
      </c>
      <c r="C27" s="8" t="inlineStr">
        <is>
          <t>Revenue minus investment</t>
        </is>
      </c>
    </row>
    <row r="28" ht="24" customHeight="1">
      <c r="A28" s="9" t="inlineStr">
        <is>
          <t>ROI %</t>
        </is>
      </c>
      <c r="B28" s="18">
        <f>(B27/B25)*100</f>
        <v/>
      </c>
      <c r="C28" s="5" t="inlineStr">
        <is>
          <t>Return on Investment</t>
        </is>
      </c>
    </row>
    <row r="29" ht="24" customHeight="1">
      <c r="A29" s="9" t="inlineStr">
        <is>
          <t>ROI Multiplier</t>
        </is>
      </c>
      <c r="B29" s="19">
        <f>B26/B25</f>
        <v/>
      </c>
      <c r="C29" s="8" t="inlineStr">
        <is>
          <t>For every €1 invested, you earn...</t>
        </is>
      </c>
    </row>
    <row r="30" ht="24" customHeight="1">
      <c r="A30" s="5" t="inlineStr">
        <is>
          <t>Break-Even Clients Needed</t>
        </is>
      </c>
      <c r="B30" s="20">
        <f>CEILING(B25/1500,1)</f>
        <v/>
      </c>
      <c r="C30" s="5" t="inlineStr">
        <is>
          <t>At €1,500/client avg value</t>
        </is>
      </c>
    </row>
    <row r="32" ht="10" customHeight="1"/>
    <row r="33" ht="80" customHeight="1">
      <c r="A33" s="21" t="inlineStr">
        <is>
          <t>HOW TO INTERPRET YOUR ROI
Under 1x ROI → Social media costs more than it generates. Review strategy.
1–3x ROI     → Positive return. Optimize content mix and targeting.
3–5x ROI     → Strong performance. Scale what's working.
5x+ ROI      → Exceptional. Document as a case study and use in proposals.</t>
        </is>
      </c>
    </row>
    <row r="34"/>
    <row r="35"/>
    <row r="36"/>
  </sheetData>
  <mergeCells count="19">
    <mergeCell ref="A29"/>
    <mergeCell ref="A21:C21"/>
    <mergeCell ref="A28"/>
    <mergeCell ref="A6:B6"/>
    <mergeCell ref="A2:F2"/>
    <mergeCell ref="A7:B7"/>
    <mergeCell ref="A30"/>
    <mergeCell ref="A4:F4"/>
    <mergeCell ref="A13:F13"/>
    <mergeCell ref="A5:B5"/>
    <mergeCell ref="A25"/>
    <mergeCell ref="A8:B8"/>
    <mergeCell ref="A24:F24"/>
    <mergeCell ref="A27"/>
    <mergeCell ref="A26"/>
    <mergeCell ref="A33:F36"/>
    <mergeCell ref="A1:F1"/>
    <mergeCell ref="A10:B10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2026-06-20T22:42:25Z</dcterms:created>
  <dcterms:modified xsi:type="dcterms:W3CDTF">2026-06-20T22:42:25Z</dcterms:modified>
</cp:coreProperties>
</file>