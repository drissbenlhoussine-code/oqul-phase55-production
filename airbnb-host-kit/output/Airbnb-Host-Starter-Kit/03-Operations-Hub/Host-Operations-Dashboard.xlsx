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Booking Tracker" sheetId="2" state="visible" r:id="rId2"/>
    <sheet xmlns:r="http://schemas.openxmlformats.org/officeDocument/2006/relationships" name="💰 Expense Tracker" sheetId="3" state="visible" r:id="rId3"/>
    <sheet xmlns:r="http://schemas.openxmlformats.org/officeDocument/2006/relationships" name="🧮 Pricing Calculator" sheetId="4" state="visible" r:id="rId4"/>
    <sheet xmlns:r="http://schemas.openxmlformats.org/officeDocument/2006/relationships" name="🧹 Cleaning Schedule" sheetId="5" state="visible" r:id="rId5"/>
    <sheet xmlns:r="http://schemas.openxmlformats.org/officeDocument/2006/relationships" name="🔧 Maintenance Log" sheetId="6" state="visible" r:id="rId6"/>
    <sheet xmlns:r="http://schemas.openxmlformats.org/officeDocument/2006/relationships" name="⭐ Review Tracker" sheetId="7" state="visible" r:id="rId7"/>
    <sheet xmlns:r="http://schemas.openxmlformats.org/officeDocument/2006/relationships" name="📈 Annu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0&quot;%&quot;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4B8A6"/>
      <sz val="9"/>
    </font>
    <font>
      <name val="Calibri"/>
      <b val="1"/>
      <color rgb="001E293B"/>
      <sz val="9"/>
    </font>
    <font>
      <name val="Calibri"/>
      <i val="1"/>
      <color rgb="0064748B"/>
      <sz val="9"/>
    </font>
    <font>
      <name val="Calibri"/>
      <b val="1"/>
      <color rgb="000F766E"/>
      <sz val="9"/>
    </font>
    <font>
      <name val="Calibri"/>
      <b val="1"/>
      <color rgb="00FFFFFF"/>
      <sz val="7"/>
    </font>
    <font>
      <name val="Calibri"/>
      <b val="1"/>
      <color rgb="000F766E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b val="1"/>
      <color rgb="000F766E"/>
      <sz val="12"/>
    </font>
    <font>
      <name val="Calibri"/>
      <b val="1"/>
      <color rgb="000F766E"/>
      <sz val="10"/>
    </font>
    <font>
      <name val="Calibri"/>
      <b val="1"/>
      <color rgb="000F766E"/>
      <sz val="14"/>
    </font>
    <font>
      <name val="Calibri"/>
      <b val="1"/>
      <color rgb="000F766E"/>
      <sz val="11"/>
    </font>
    <font>
      <name val="Calibri"/>
      <b val="1"/>
      <color rgb="001E293B"/>
      <sz val="10"/>
    </font>
    <font>
      <name val="Calibri"/>
      <b val="1"/>
      <color rgb="0016A34A"/>
      <sz val="11"/>
    </font>
    <font>
      <name val="Calibri"/>
      <b val="1"/>
      <color rgb="0016A34A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bottom style="thin">
        <color rgb="00CBD5E1"/>
      </bottom>
    </border>
    <border>
      <left style="medium">
        <color rgb="000F766E"/>
      </left>
      <right style="medium">
        <color rgb="000F766E"/>
      </right>
      <top style="medium">
        <color rgb="000F766E"/>
      </top>
      <bottom style="medium">
        <color rgb="000F766E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0" fillId="3" borderId="0" pivotButton="0" quotePrefix="0" xfId="0"/>
    <xf numFmtId="4" fontId="11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5" fontId="11" fillId="3" borderId="2" applyAlignment="1" pivotButton="0" quotePrefix="0" xfId="0">
      <alignment horizontal="center" vertical="center"/>
    </xf>
    <xf numFmtId="0" fontId="0" fillId="6" borderId="0" pivotButton="0" quotePrefix="0" xfId="0"/>
    <xf numFmtId="4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4" fontId="11" fillId="6" borderId="2" applyAlignment="1" pivotButton="0" quotePrefix="0" xfId="0">
      <alignment horizontal="center" vertical="center"/>
    </xf>
    <xf numFmtId="165" fontId="11" fillId="6" borderId="2" applyAlignment="1" pivotButton="0" quotePrefix="0" xfId="0">
      <alignment horizontal="center" vertical="center"/>
    </xf>
    <xf numFmtId="0" fontId="12" fillId="2" borderId="0" pivotButton="0" quotePrefix="0" xfId="0"/>
    <xf numFmtId="4" fontId="12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right" vertical="center"/>
    </xf>
    <xf numFmtId="4" fontId="15" fillId="5" borderId="0" applyAlignment="1" pivotButton="0" quotePrefix="0" xfId="0">
      <alignment horizontal="center" vertical="center"/>
    </xf>
    <xf numFmtId="1" fontId="15" fillId="5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4" fontId="11" fillId="3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center" vertical="center"/>
    </xf>
    <xf numFmtId="4" fontId="11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6" borderId="2" pivotButton="0" quotePrefix="0" xfId="0"/>
    <xf numFmtId="0" fontId="10" fillId="4" borderId="0" pivotButton="0" quotePrefix="0" xfId="0"/>
    <xf numFmtId="4" fontId="17" fillId="5" borderId="0" pivotButton="0" quotePrefix="0" xfId="0"/>
    <xf numFmtId="0" fontId="9" fillId="4" borderId="0" pivotButton="0" quotePrefix="0" xfId="0"/>
    <xf numFmtId="0" fontId="11" fillId="3" borderId="0" applyAlignment="1" pivotButton="0" quotePrefix="0" xfId="0">
      <alignment horizontal="left" vertical="center"/>
    </xf>
    <xf numFmtId="4" fontId="18" fillId="5" borderId="4" applyAlignment="1" pivotButton="0" quotePrefix="0" xfId="0">
      <alignment horizontal="center" vertical="center"/>
    </xf>
    <xf numFmtId="4" fontId="18" fillId="3" borderId="5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4" fontId="18" fillId="6" borderId="5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18" fillId="8" borderId="5" applyAlignment="1" pivotButton="0" quotePrefix="0" xfId="0">
      <alignment horizontal="center" vertical="center"/>
    </xf>
    <xf numFmtId="166" fontId="18" fillId="5" borderId="4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/>
    </xf>
    <xf numFmtId="4" fontId="20" fillId="9" borderId="5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164" fontId="18" fillId="5" borderId="4" applyAlignment="1" pivotButton="0" quotePrefix="0" xfId="0">
      <alignment horizontal="center" vertical="center"/>
    </xf>
    <xf numFmtId="0" fontId="21" fillId="3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2" fontId="15" fillId="5" borderId="0" applyAlignment="1" pivotButton="0" quotePrefix="0" xfId="0">
      <alignment horizontal="center" vertical="center"/>
    </xf>
    <xf numFmtId="9" fontId="1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0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1" t="inlineStr">
        <is>
          <t>AIRBNB HOST OPERATIONS DASHBOARD</t>
        </is>
      </c>
      <c r="N1" s="2" t="inlineStr">
        <is>
          <t>NOVAOPS  ·  v1.0</t>
        </is>
      </c>
    </row>
    <row r="2" ht="20" customHeight="1">
      <c r="A2" s="3" t="inlineStr">
        <is>
          <t>Property Name:</t>
        </is>
      </c>
      <c r="C2" s="4" t="inlineStr">
        <is>
          <t>[YOUR PROPERTY NAME]</t>
        </is>
      </c>
      <c r="G2" s="3" t="inlineStr">
        <is>
          <t>Listing URL:</t>
        </is>
      </c>
      <c r="I2" s="4" t="inlineStr">
        <is>
          <t>[PASTE AIRBNB URL]</t>
        </is>
      </c>
      <c r="M2" s="3" t="inlineStr">
        <is>
          <t>Year:</t>
        </is>
      </c>
      <c r="N2" s="5" t="n">
        <v>2025</v>
      </c>
    </row>
    <row r="3" ht="8" customHeight="1"/>
    <row r="4" ht="20" customHeight="1">
      <c r="A4" s="6" t="inlineStr">
        <is>
          <t>THIS MONTH AT A GLANCE</t>
        </is>
      </c>
    </row>
    <row r="5" ht="18" customHeight="1">
      <c r="A5" s="7" t="inlineStr">
        <is>
          <t>TOTAL REVENUE</t>
        </is>
      </c>
      <c r="E5" s="7" t="inlineStr">
        <is>
          <t>NET PROFIT</t>
        </is>
      </c>
      <c r="I5" s="7" t="inlineStr">
        <is>
          <t>BOOKINGS</t>
        </is>
      </c>
      <c r="M5" s="7" t="inlineStr">
        <is>
          <t>AVG RATING</t>
        </is>
      </c>
    </row>
    <row r="6" ht="28" customHeight="1">
      <c r="A6" s="8">
        <f>'📅 Booking Tracker'!K2</f>
        <v/>
      </c>
      <c r="E6" s="8">
        <f>'📅 Booking Tracker'!N2</f>
        <v/>
      </c>
      <c r="I6" s="8">
        <f>'📅 Booking Tracker'!O2</f>
        <v/>
      </c>
      <c r="M6" s="8">
        <f>'⭐ Review Tracker'!H2</f>
        <v/>
      </c>
    </row>
    <row r="7" ht="16" customHeight="1">
      <c r="A7" s="9" t="inlineStr">
        <is>
          <t>Gross bookings (this month)</t>
        </is>
      </c>
      <c r="E7" s="9" t="inlineStr">
        <is>
          <t>Revenue minus all expenses</t>
        </is>
      </c>
      <c r="I7" s="9" t="inlineStr">
        <is>
          <t>Completed stays this month</t>
        </is>
      </c>
      <c r="M7" s="9" t="inlineStr">
        <is>
          <t>Current average star rating</t>
        </is>
      </c>
    </row>
    <row r="8" ht="8" customHeight="1"/>
    <row r="9" ht="26" customHeight="1">
      <c r="A9" s="10" t="inlineStr">
        <is>
          <t xml:space="preserve">  YEAR-TO-DATE PERFORMANCE</t>
        </is>
      </c>
    </row>
    <row r="10" ht="22" customHeight="1">
      <c r="A10" s="11" t="inlineStr">
        <is>
          <t>Month</t>
        </is>
      </c>
      <c r="B10" s="11" t="inlineStr">
        <is>
          <t>Revenue (€)</t>
        </is>
      </c>
      <c r="C10" s="11" t="inlineStr">
        <is>
          <t>Expenses (€)</t>
        </is>
      </c>
      <c r="D10" s="11" t="inlineStr">
        <is>
          <t>Net Profit (€)</t>
        </is>
      </c>
      <c r="E10" s="11" t="inlineStr">
        <is>
          <t>Bookings</t>
        </is>
      </c>
      <c r="F10" s="11" t="inlineStr">
        <is>
          <t>Nights Booked</t>
        </is>
      </c>
      <c r="G10" s="11" t="inlineStr">
        <is>
          <t>Occupancy %</t>
        </is>
      </c>
      <c r="H10" s="11" t="inlineStr">
        <is>
          <t>Avg Nightly Rate</t>
        </is>
      </c>
      <c r="I10" s="11" t="inlineStr">
        <is>
          <t>Avg Rating</t>
        </is>
      </c>
    </row>
    <row r="11" ht="18" customHeight="1">
      <c r="A11" s="12" t="inlineStr">
        <is>
          <t>January</t>
        </is>
      </c>
      <c r="B11" s="13" t="n">
        <v>0</v>
      </c>
      <c r="C11" s="13" t="n">
        <v>0</v>
      </c>
      <c r="D11" s="13" t="n">
        <v>0</v>
      </c>
      <c r="E11" s="14" t="n">
        <v>0</v>
      </c>
      <c r="F11" s="14" t="n">
        <v>0</v>
      </c>
      <c r="G11" s="15" t="n">
        <v>0</v>
      </c>
      <c r="H11" s="13" t="n">
        <v>0</v>
      </c>
      <c r="I11" s="16" t="n">
        <v>0</v>
      </c>
    </row>
    <row r="12" ht="18" customHeight="1">
      <c r="A12" s="17" t="inlineStr">
        <is>
          <t>February</t>
        </is>
      </c>
      <c r="B12" s="18" t="n">
        <v>0</v>
      </c>
      <c r="C12" s="18" t="n">
        <v>0</v>
      </c>
      <c r="D12" s="18" t="n">
        <v>0</v>
      </c>
      <c r="E12" s="19" t="n">
        <v>0</v>
      </c>
      <c r="F12" s="19" t="n">
        <v>0</v>
      </c>
      <c r="G12" s="20" t="n">
        <v>0</v>
      </c>
      <c r="H12" s="18" t="n">
        <v>0</v>
      </c>
      <c r="I12" s="21" t="n">
        <v>0</v>
      </c>
    </row>
    <row r="13" ht="18" customHeight="1">
      <c r="A13" s="12" t="inlineStr">
        <is>
          <t>March</t>
        </is>
      </c>
      <c r="B13" s="13" t="n">
        <v>0</v>
      </c>
      <c r="C13" s="13" t="n">
        <v>0</v>
      </c>
      <c r="D13" s="13" t="n">
        <v>0</v>
      </c>
      <c r="E13" s="14" t="n">
        <v>0</v>
      </c>
      <c r="F13" s="14" t="n">
        <v>0</v>
      </c>
      <c r="G13" s="15" t="n">
        <v>0</v>
      </c>
      <c r="H13" s="13" t="n">
        <v>0</v>
      </c>
      <c r="I13" s="16" t="n">
        <v>0</v>
      </c>
    </row>
    <row r="14" ht="18" customHeight="1">
      <c r="A14" s="17" t="inlineStr">
        <is>
          <t>April</t>
        </is>
      </c>
      <c r="B14" s="18" t="n">
        <v>0</v>
      </c>
      <c r="C14" s="18" t="n">
        <v>0</v>
      </c>
      <c r="D14" s="18" t="n">
        <v>0</v>
      </c>
      <c r="E14" s="19" t="n">
        <v>0</v>
      </c>
      <c r="F14" s="19" t="n">
        <v>0</v>
      </c>
      <c r="G14" s="20" t="n">
        <v>0</v>
      </c>
      <c r="H14" s="18" t="n">
        <v>0</v>
      </c>
      <c r="I14" s="21" t="n">
        <v>0</v>
      </c>
    </row>
    <row r="15" ht="18" customHeight="1">
      <c r="A15" s="12" t="inlineStr">
        <is>
          <t>May</t>
        </is>
      </c>
      <c r="B15" s="13" t="n">
        <v>0</v>
      </c>
      <c r="C15" s="13" t="n">
        <v>0</v>
      </c>
      <c r="D15" s="13" t="n">
        <v>0</v>
      </c>
      <c r="E15" s="14" t="n">
        <v>0</v>
      </c>
      <c r="F15" s="14" t="n">
        <v>0</v>
      </c>
      <c r="G15" s="15" t="n">
        <v>0</v>
      </c>
      <c r="H15" s="13" t="n">
        <v>0</v>
      </c>
      <c r="I15" s="16" t="n">
        <v>0</v>
      </c>
    </row>
    <row r="16" ht="18" customHeight="1">
      <c r="A16" s="17" t="inlineStr">
        <is>
          <t>June</t>
        </is>
      </c>
      <c r="B16" s="18" t="n">
        <v>0</v>
      </c>
      <c r="C16" s="18" t="n">
        <v>0</v>
      </c>
      <c r="D16" s="18" t="n">
        <v>0</v>
      </c>
      <c r="E16" s="19" t="n">
        <v>0</v>
      </c>
      <c r="F16" s="19" t="n">
        <v>0</v>
      </c>
      <c r="G16" s="20" t="n">
        <v>0</v>
      </c>
      <c r="H16" s="18" t="n">
        <v>0</v>
      </c>
      <c r="I16" s="21" t="n">
        <v>0</v>
      </c>
    </row>
    <row r="17" ht="18" customHeight="1">
      <c r="A17" s="12" t="inlineStr">
        <is>
          <t>July</t>
        </is>
      </c>
      <c r="B17" s="13" t="n">
        <v>0</v>
      </c>
      <c r="C17" s="13" t="n">
        <v>0</v>
      </c>
      <c r="D17" s="13" t="n">
        <v>0</v>
      </c>
      <c r="E17" s="14" t="n">
        <v>0</v>
      </c>
      <c r="F17" s="14" t="n">
        <v>0</v>
      </c>
      <c r="G17" s="15" t="n">
        <v>0</v>
      </c>
      <c r="H17" s="13" t="n">
        <v>0</v>
      </c>
      <c r="I17" s="16" t="n">
        <v>0</v>
      </c>
    </row>
    <row r="18" ht="18" customHeight="1">
      <c r="A18" s="17" t="inlineStr">
        <is>
          <t>August</t>
        </is>
      </c>
      <c r="B18" s="18" t="n">
        <v>0</v>
      </c>
      <c r="C18" s="18" t="n">
        <v>0</v>
      </c>
      <c r="D18" s="18" t="n">
        <v>0</v>
      </c>
      <c r="E18" s="19" t="n">
        <v>0</v>
      </c>
      <c r="F18" s="19" t="n">
        <v>0</v>
      </c>
      <c r="G18" s="20" t="n">
        <v>0</v>
      </c>
      <c r="H18" s="18" t="n">
        <v>0</v>
      </c>
      <c r="I18" s="21" t="n">
        <v>0</v>
      </c>
    </row>
    <row r="19" ht="18" customHeight="1">
      <c r="A19" s="12" t="inlineStr">
        <is>
          <t>September</t>
        </is>
      </c>
      <c r="B19" s="13" t="n">
        <v>0</v>
      </c>
      <c r="C19" s="13" t="n">
        <v>0</v>
      </c>
      <c r="D19" s="13" t="n">
        <v>0</v>
      </c>
      <c r="E19" s="14" t="n">
        <v>0</v>
      </c>
      <c r="F19" s="14" t="n">
        <v>0</v>
      </c>
      <c r="G19" s="15" t="n">
        <v>0</v>
      </c>
      <c r="H19" s="13" t="n">
        <v>0</v>
      </c>
      <c r="I19" s="16" t="n">
        <v>0</v>
      </c>
    </row>
    <row r="20" ht="18" customHeight="1">
      <c r="A20" s="17" t="inlineStr">
        <is>
          <t>October</t>
        </is>
      </c>
      <c r="B20" s="18" t="n">
        <v>0</v>
      </c>
      <c r="C20" s="18" t="n">
        <v>0</v>
      </c>
      <c r="D20" s="18" t="n">
        <v>0</v>
      </c>
      <c r="E20" s="19" t="n">
        <v>0</v>
      </c>
      <c r="F20" s="19" t="n">
        <v>0</v>
      </c>
      <c r="G20" s="20" t="n">
        <v>0</v>
      </c>
      <c r="H20" s="18" t="n">
        <v>0</v>
      </c>
      <c r="I20" s="21" t="n">
        <v>0</v>
      </c>
    </row>
    <row r="21" ht="18" customHeight="1">
      <c r="A21" s="12" t="inlineStr">
        <is>
          <t>November</t>
        </is>
      </c>
      <c r="B21" s="13" t="n">
        <v>0</v>
      </c>
      <c r="C21" s="13" t="n">
        <v>0</v>
      </c>
      <c r="D21" s="13" t="n">
        <v>0</v>
      </c>
      <c r="E21" s="14" t="n">
        <v>0</v>
      </c>
      <c r="F21" s="14" t="n">
        <v>0</v>
      </c>
      <c r="G21" s="15" t="n">
        <v>0</v>
      </c>
      <c r="H21" s="13" t="n">
        <v>0</v>
      </c>
      <c r="I21" s="16" t="n">
        <v>0</v>
      </c>
    </row>
    <row r="22" ht="18" customHeight="1">
      <c r="A22" s="17" t="inlineStr">
        <is>
          <t>December</t>
        </is>
      </c>
      <c r="B22" s="18" t="n">
        <v>0</v>
      </c>
      <c r="C22" s="18" t="n">
        <v>0</v>
      </c>
      <c r="D22" s="18" t="n">
        <v>0</v>
      </c>
      <c r="E22" s="19" t="n">
        <v>0</v>
      </c>
      <c r="F22" s="19" t="n">
        <v>0</v>
      </c>
      <c r="G22" s="20" t="n">
        <v>0</v>
      </c>
      <c r="H22" s="18" t="n">
        <v>0</v>
      </c>
      <c r="I22" s="21" t="n">
        <v>0</v>
      </c>
    </row>
    <row r="23" ht="22" customHeight="1">
      <c r="A23" s="22" t="inlineStr">
        <is>
          <t>FULL YEAR TOTAL</t>
        </is>
      </c>
      <c r="B23" s="23">
        <f>SUM(B11:B22)</f>
        <v/>
      </c>
      <c r="C23" s="23">
        <f>SUM(C11:C22)</f>
        <v/>
      </c>
      <c r="D23" s="23">
        <f>SUM(D11:D22)</f>
        <v/>
      </c>
      <c r="E23" s="24">
        <f>SUM(E11:E22)</f>
        <v/>
      </c>
      <c r="F23" s="24">
        <f>SUM(F11:F22)</f>
        <v/>
      </c>
      <c r="G23" s="24">
        <f>AVERAGE(G11:G22)</f>
        <v/>
      </c>
      <c r="H23" s="23">
        <f>SUM(H11:H22)</f>
        <v/>
      </c>
      <c r="I23" s="24">
        <f>AVERAGE(I11:I22)</f>
        <v/>
      </c>
    </row>
    <row r="24" ht="8" customHeight="1"/>
    <row r="25" ht="26" customHeight="1">
      <c r="A25" s="10" t="inlineStr">
        <is>
          <t xml:space="preserve">  MAINTENANCE ALERTS — OPEN ITEMS</t>
        </is>
      </c>
    </row>
    <row r="26" ht="22" customHeight="1">
      <c r="A26" s="25" t="inlineStr">
        <is>
          <t>Issue</t>
        </is>
      </c>
      <c r="B26" s="25" t="inlineStr">
        <is>
          <t>Location</t>
        </is>
      </c>
      <c r="C26" s="25" t="inlineStr">
        <is>
          <t>Priority</t>
        </is>
      </c>
      <c r="D26" s="25" t="inlineStr">
        <is>
          <t>Status</t>
        </is>
      </c>
      <c r="E26" s="25" t="inlineStr">
        <is>
          <t>Assigned To</t>
        </is>
      </c>
      <c r="F26" s="25" t="inlineStr">
        <is>
          <t>Est. Cost (€)</t>
        </is>
      </c>
    </row>
    <row r="27" ht="18" customHeight="1">
      <c r="A27" s="26" t="inlineStr">
        <is>
          <t>Check boiler service date</t>
        </is>
      </c>
      <c r="B27" s="26" t="inlineStr">
        <is>
          <t>Utility room</t>
        </is>
      </c>
      <c r="C27" s="26" t="inlineStr">
        <is>
          <t>Medium</t>
        </is>
      </c>
      <c r="D27" s="26" t="inlineStr">
        <is>
          <t>Scheduled</t>
        </is>
      </c>
      <c r="E27" s="26" t="inlineStr">
        <is>
          <t>[PLUMBER NAME]</t>
        </is>
      </c>
      <c r="F27" s="26" t="inlineStr"/>
    </row>
    <row r="28" ht="18" customHeight="1">
      <c r="A28" s="27" t="inlineStr">
        <is>
          <t>Replace kitchen tap washer</t>
        </is>
      </c>
      <c r="B28" s="27" t="inlineStr">
        <is>
          <t>Kitchen</t>
        </is>
      </c>
      <c r="C28" s="27" t="inlineStr">
        <is>
          <t>Low</t>
        </is>
      </c>
      <c r="D28" s="27" t="inlineStr">
        <is>
          <t>Open</t>
        </is>
      </c>
      <c r="E28" s="27" t="inlineStr">
        <is>
          <t>Self</t>
        </is>
      </c>
      <c r="F28" s="27" t="inlineStr">
        <is>
          <t>15</t>
        </is>
      </c>
    </row>
    <row r="29" ht="18" customHeight="1">
      <c r="A29" s="28" t="inlineStr">
        <is>
          <t>[ADD ISSUE]</t>
        </is>
      </c>
      <c r="B29" s="28" t="inlineStr"/>
      <c r="C29" s="28" t="inlineStr"/>
      <c r="D29" s="28" t="inlineStr"/>
      <c r="E29" s="28" t="inlineStr"/>
      <c r="F29" s="28" t="inlineStr"/>
    </row>
  </sheetData>
  <mergeCells count="21">
    <mergeCell ref="A5:D5"/>
    <mergeCell ref="G2:H2"/>
    <mergeCell ref="N1:P1"/>
    <mergeCell ref="A4:P4"/>
    <mergeCell ref="E7:H7"/>
    <mergeCell ref="A9:P9"/>
    <mergeCell ref="I6:L6"/>
    <mergeCell ref="I2:L2"/>
    <mergeCell ref="E5:H5"/>
    <mergeCell ref="M5:P5"/>
    <mergeCell ref="A2:B2"/>
    <mergeCell ref="A1:M1"/>
    <mergeCell ref="A6:D6"/>
    <mergeCell ref="A7:D7"/>
    <mergeCell ref="I7:L7"/>
    <mergeCell ref="A25:P25"/>
    <mergeCell ref="M7:P7"/>
    <mergeCell ref="E6:H6"/>
    <mergeCell ref="M6:P6"/>
    <mergeCell ref="C2:F2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7" customWidth="1" min="5" max="5"/>
    <col width="7" customWidth="1" min="6" max="6"/>
    <col width="13" customWidth="1" min="7" max="7"/>
    <col width="14" customWidth="1" min="8" max="8"/>
    <col width="14" customWidth="1" min="9" max="9"/>
    <col width="10" customWidth="1" min="10" max="10"/>
    <col width="14" customWidth="1" min="11" max="11"/>
    <col width="12" customWidth="1" min="12" max="12"/>
    <col width="15" customWidth="1" min="13" max="13"/>
    <col width="13" customWidth="1" min="14" max="14"/>
    <col width="9" customWidth="1" min="15" max="15"/>
    <col width="10" customWidth="1" min="16" max="16"/>
    <col width="25" customWidth="1" min="17" max="17"/>
  </cols>
  <sheetData>
    <row r="1" ht="30" customHeight="1">
      <c r="A1" s="29" t="inlineStr">
        <is>
          <t>BOOKING TRACKER  —  Log every booking here</t>
        </is>
      </c>
    </row>
    <row r="2" ht="22" customHeight="1">
      <c r="A2" s="30" t="inlineStr">
        <is>
          <t>TOTAL REVENUE:</t>
        </is>
      </c>
      <c r="C2" s="31">
        <f>SUMIF(K4:K1000,"&lt;&gt;",K4:K1000)</f>
        <v/>
      </c>
      <c r="E2" s="30" t="inlineStr">
        <is>
          <t>NET PROFIT:</t>
        </is>
      </c>
      <c r="G2" s="31">
        <f>SUMIF(N4:N1000,"&lt;&gt;",N4:N1000)</f>
        <v/>
      </c>
      <c r="I2" s="30" t="inlineStr">
        <is>
          <t>BOOKINGS:</t>
        </is>
      </c>
      <c r="K2" s="32">
        <f>COUNTA(A4:A1000)</f>
        <v/>
      </c>
      <c r="M2" s="30" t="inlineStr">
        <is>
          <t>AVG RATING:</t>
        </is>
      </c>
      <c r="O2" s="33">
        <f>IFERROR(AVERAGE(O4:O1000),"—")</f>
        <v/>
      </c>
    </row>
    <row r="3" ht="22" customHeight="1">
      <c r="A3" s="34" t="inlineStr">
        <is>
          <t>Booking Ref</t>
        </is>
      </c>
      <c r="B3" s="34" t="inlineStr">
        <is>
          <t>Guest Name</t>
        </is>
      </c>
      <c r="C3" s="34" t="inlineStr">
        <is>
          <t>Check-In</t>
        </is>
      </c>
      <c r="D3" s="34" t="inlineStr">
        <is>
          <t>Check-Out</t>
        </is>
      </c>
      <c r="E3" s="34" t="inlineStr">
        <is>
          <t>Nights</t>
        </is>
      </c>
      <c r="F3" s="34" t="inlineStr">
        <is>
          <t>Guests</t>
        </is>
      </c>
      <c r="G3" s="34" t="inlineStr">
        <is>
          <t>Gross Rate (€)</t>
        </is>
      </c>
      <c r="H3" s="34" t="inlineStr">
        <is>
          <t>Cleaning Fee (€)</t>
        </is>
      </c>
      <c r="I3" s="34" t="inlineStr">
        <is>
          <t>Platform Fee (€)</t>
        </is>
      </c>
      <c r="J3" s="34" t="inlineStr">
        <is>
          <t>Tax (€)</t>
        </is>
      </c>
      <c r="K3" s="34" t="inlineStr">
        <is>
          <t>Host Payout (€)</t>
        </is>
      </c>
      <c r="L3" s="34" t="inlineStr">
        <is>
          <t>Expenses (€)</t>
        </is>
      </c>
      <c r="M3" s="34" t="inlineStr">
        <is>
          <t>Cleaning Cost (€)</t>
        </is>
      </c>
      <c r="N3" s="34" t="inlineStr">
        <is>
          <t>Net Profit (€)</t>
        </is>
      </c>
      <c r="O3" s="34" t="inlineStr">
        <is>
          <t>Rating ★</t>
        </is>
      </c>
      <c r="P3" s="34" t="inlineStr">
        <is>
          <t>Review Left</t>
        </is>
      </c>
      <c r="Q3" s="34" t="inlineStr">
        <is>
          <t>Notes</t>
        </is>
      </c>
    </row>
    <row r="4" ht="18" customHeight="1">
      <c r="A4" s="28" t="inlineStr">
        <is>
          <t>BK-001</t>
        </is>
      </c>
      <c r="B4" s="28" t="inlineStr">
        <is>
          <t>Sarah J.</t>
        </is>
      </c>
      <c r="C4" s="28" t="inlineStr">
        <is>
          <t>2025-06-10</t>
        </is>
      </c>
      <c r="D4" s="28" t="inlineStr">
        <is>
          <t>2025-06-14</t>
        </is>
      </c>
      <c r="E4" s="28" t="n">
        <v>4</v>
      </c>
      <c r="F4" s="28" t="n">
        <v>2</v>
      </c>
      <c r="G4" s="35" t="n">
        <v>480</v>
      </c>
      <c r="H4" s="35" t="n">
        <v>60</v>
      </c>
      <c r="I4" s="35" t="n">
        <v>72</v>
      </c>
      <c r="J4" s="35" t="n">
        <v>0</v>
      </c>
      <c r="K4" s="35" t="n">
        <v>408</v>
      </c>
      <c r="L4" s="35" t="n">
        <v>0</v>
      </c>
      <c r="M4" s="35" t="n">
        <v>80</v>
      </c>
      <c r="N4" s="35" t="n">
        <v>328</v>
      </c>
      <c r="O4" s="36" t="n">
        <v>5</v>
      </c>
      <c r="P4" s="28" t="inlineStr">
        <is>
          <t>Yes</t>
        </is>
      </c>
      <c r="Q4" s="28" t="inlineStr">
        <is>
          <t>Lovely guests — left spotless</t>
        </is>
      </c>
    </row>
    <row r="5" ht="18" customHeight="1">
      <c r="A5" s="27" t="inlineStr">
        <is>
          <t>BK-002</t>
        </is>
      </c>
      <c r="B5" s="27" t="inlineStr">
        <is>
          <t>Marcus T.</t>
        </is>
      </c>
      <c r="C5" s="27" t="inlineStr">
        <is>
          <t>2025-06-18</t>
        </is>
      </c>
      <c r="D5" s="27" t="inlineStr">
        <is>
          <t>2025-06-21</t>
        </is>
      </c>
      <c r="E5" s="27" t="n">
        <v>3</v>
      </c>
      <c r="F5" s="27" t="n">
        <v>3</v>
      </c>
      <c r="G5" s="37" t="n">
        <v>360</v>
      </c>
      <c r="H5" s="37" t="n">
        <v>60</v>
      </c>
      <c r="I5" s="37" t="n">
        <v>54</v>
      </c>
      <c r="J5" s="37" t="n">
        <v>0</v>
      </c>
      <c r="K5" s="37" t="n">
        <v>306</v>
      </c>
      <c r="L5" s="37" t="n">
        <v>0</v>
      </c>
      <c r="M5" s="37" t="n">
        <v>80</v>
      </c>
      <c r="N5" s="37" t="n">
        <v>226</v>
      </c>
      <c r="O5" s="38" t="n">
        <v>5</v>
      </c>
      <c r="P5" s="27" t="inlineStr">
        <is>
          <t>Yes</t>
        </is>
      </c>
      <c r="Q5" s="27" t="inlineStr">
        <is>
          <t>Asked about early check-in — accommodated</t>
        </is>
      </c>
    </row>
    <row r="6" ht="18" customHeight="1">
      <c r="A6" s="28" t="inlineStr">
        <is>
          <t>BK-003</t>
        </is>
      </c>
      <c r="B6" s="28" t="inlineStr">
        <is>
          <t>[GUEST NAME]</t>
        </is>
      </c>
      <c r="C6" s="28" t="inlineStr"/>
      <c r="D6" s="28" t="inlineStr"/>
      <c r="E6" s="28" t="inlineStr"/>
      <c r="F6" s="28" t="inlineStr"/>
      <c r="G6" s="35" t="inlineStr"/>
      <c r="H6" s="35" t="inlineStr"/>
      <c r="I6" s="35" t="inlineStr"/>
      <c r="J6" s="35" t="inlineStr"/>
      <c r="K6" s="35" t="inlineStr"/>
      <c r="L6" s="35" t="inlineStr"/>
      <c r="M6" s="35" t="inlineStr"/>
      <c r="N6" s="35" t="inlineStr"/>
      <c r="O6" s="36" t="inlineStr"/>
      <c r="P6" s="28" t="inlineStr"/>
      <c r="Q6" s="28" t="inlineStr"/>
    </row>
    <row r="7" ht="18" customHeight="1">
      <c r="A7" s="39" t="inlineStr"/>
      <c r="B7" s="39" t="inlineStr"/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</row>
    <row r="8" ht="18" customHeight="1">
      <c r="A8" s="40" t="inlineStr"/>
      <c r="B8" s="40" t="inlineStr"/>
      <c r="C8" s="40" t="inlineStr"/>
      <c r="D8" s="40" t="inlineStr"/>
      <c r="E8" s="40" t="inlineStr"/>
      <c r="F8" s="40" t="inlineStr"/>
      <c r="G8" s="40" t="inlineStr"/>
      <c r="H8" s="40" t="inlineStr"/>
      <c r="I8" s="40" t="inlineStr"/>
      <c r="J8" s="40" t="inlineStr"/>
      <c r="K8" s="40" t="inlineStr"/>
      <c r="L8" s="40" t="inlineStr"/>
      <c r="M8" s="40" t="inlineStr"/>
      <c r="N8" s="40" t="inlineStr"/>
      <c r="O8" s="40" t="inlineStr"/>
      <c r="P8" s="40" t="inlineStr"/>
      <c r="Q8" s="40" t="inlineStr"/>
    </row>
    <row r="9" ht="18" customHeight="1">
      <c r="A9" s="39" t="inlineStr"/>
      <c r="B9" s="39" t="inlineStr"/>
      <c r="C9" s="39" t="inlineStr"/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39" t="inlineStr"/>
      <c r="N9" s="39" t="inlineStr"/>
      <c r="O9" s="39" t="inlineStr"/>
      <c r="P9" s="39" t="inlineStr"/>
      <c r="Q9" s="39" t="inlineStr"/>
    </row>
    <row r="10" ht="18" customHeight="1">
      <c r="A10" s="40" t="inlineStr"/>
      <c r="B10" s="40" t="inlineStr"/>
      <c r="C10" s="40" t="inlineStr"/>
      <c r="D10" s="40" t="inlineStr"/>
      <c r="E10" s="40" t="inlineStr"/>
      <c r="F10" s="40" t="inlineStr"/>
      <c r="G10" s="40" t="inlineStr"/>
      <c r="H10" s="40" t="inlineStr"/>
      <c r="I10" s="40" t="inlineStr"/>
      <c r="J10" s="40" t="inlineStr"/>
      <c r="K10" s="40" t="inlineStr"/>
      <c r="L10" s="40" t="inlineStr"/>
      <c r="M10" s="40" t="inlineStr"/>
      <c r="N10" s="40" t="inlineStr"/>
      <c r="O10" s="40" t="inlineStr"/>
      <c r="P10" s="40" t="inlineStr"/>
      <c r="Q10" s="40" t="inlineStr"/>
    </row>
    <row r="11" ht="18" customHeight="1">
      <c r="A11" s="39" t="inlineStr"/>
      <c r="B11" s="39" t="inlineStr"/>
      <c r="C11" s="39" t="inlineStr"/>
      <c r="D11" s="39" t="inlineStr"/>
      <c r="E11" s="39" t="inlineStr"/>
      <c r="F11" s="39" t="inlineStr"/>
      <c r="G11" s="39" t="inlineStr"/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</row>
    <row r="12" ht="18" customHeight="1">
      <c r="A12" s="40" t="inlineStr"/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  <c r="I12" s="40" t="inlineStr"/>
      <c r="J12" s="40" t="inlineStr"/>
      <c r="K12" s="40" t="inlineStr"/>
      <c r="L12" s="40" t="inlineStr"/>
      <c r="M12" s="40" t="inlineStr"/>
      <c r="N12" s="40" t="inlineStr"/>
      <c r="O12" s="40" t="inlineStr"/>
      <c r="P12" s="40" t="inlineStr"/>
      <c r="Q12" s="40" t="inlineStr"/>
    </row>
    <row r="13" ht="18" customHeight="1">
      <c r="A13" s="39" t="inlineStr"/>
      <c r="B13" s="39" t="inlineStr"/>
      <c r="C13" s="39" t="inlineStr"/>
      <c r="D13" s="39" t="inlineStr"/>
      <c r="E13" s="39" t="inlineStr"/>
      <c r="F13" s="39" t="inlineStr"/>
      <c r="G13" s="39" t="inlineStr"/>
      <c r="H13" s="39" t="inlineStr"/>
      <c r="I13" s="39" t="inlineStr"/>
      <c r="J13" s="39" t="inlineStr"/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</row>
    <row r="14" ht="18" customHeight="1">
      <c r="A14" s="40" t="inlineStr"/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  <c r="I14" s="40" t="inlineStr"/>
      <c r="J14" s="40" t="inlineStr"/>
      <c r="K14" s="40" t="inlineStr"/>
      <c r="L14" s="40" t="inlineStr"/>
      <c r="M14" s="40" t="inlineStr"/>
      <c r="N14" s="40" t="inlineStr"/>
      <c r="O14" s="40" t="inlineStr"/>
      <c r="P14" s="40" t="inlineStr"/>
      <c r="Q14" s="40" t="inlineStr"/>
    </row>
    <row r="15" ht="18" customHeight="1">
      <c r="A15" s="39" t="inlineStr"/>
      <c r="B15" s="39" t="inlineStr"/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</row>
    <row r="16" ht="18" customHeight="1">
      <c r="A16" s="40" t="inlineStr"/>
      <c r="B16" s="40" t="inlineStr"/>
      <c r="C16" s="40" t="inlineStr"/>
      <c r="D16" s="40" t="inlineStr"/>
      <c r="E16" s="40" t="inlineStr"/>
      <c r="F16" s="40" t="inlineStr"/>
      <c r="G16" s="40" t="inlineStr"/>
      <c r="H16" s="40" t="inlineStr"/>
      <c r="I16" s="40" t="inlineStr"/>
      <c r="J16" s="40" t="inlineStr"/>
      <c r="K16" s="40" t="inlineStr"/>
      <c r="L16" s="40" t="inlineStr"/>
      <c r="M16" s="40" t="inlineStr"/>
      <c r="N16" s="40" t="inlineStr"/>
      <c r="O16" s="40" t="inlineStr"/>
      <c r="P16" s="40" t="inlineStr"/>
      <c r="Q16" s="40" t="inlineStr"/>
    </row>
    <row r="17" ht="18" customHeight="1">
      <c r="A17" s="39" t="inlineStr"/>
      <c r="B17" s="39" t="inlineStr"/>
      <c r="C17" s="39" t="inlineStr"/>
      <c r="D17" s="39" t="inlineStr"/>
      <c r="E17" s="39" t="inlineStr"/>
      <c r="F17" s="39" t="inlineStr"/>
      <c r="G17" s="39" t="inlineStr"/>
      <c r="H17" s="39" t="inlineStr"/>
      <c r="I17" s="39" t="inlineStr"/>
      <c r="J17" s="39" t="inlineStr"/>
      <c r="K17" s="39" t="inlineStr"/>
      <c r="L17" s="39" t="inlineStr"/>
      <c r="M17" s="39" t="inlineStr"/>
      <c r="N17" s="39" t="inlineStr"/>
      <c r="O17" s="39" t="inlineStr"/>
      <c r="P17" s="39" t="inlineStr"/>
      <c r="Q17" s="39" t="inlineStr"/>
    </row>
    <row r="18" ht="18" customHeight="1">
      <c r="A18" s="40" t="inlineStr"/>
      <c r="B18" s="40" t="inlineStr"/>
      <c r="C18" s="40" t="inlineStr"/>
      <c r="D18" s="40" t="inlineStr"/>
      <c r="E18" s="40" t="inlineStr"/>
      <c r="F18" s="40" t="inlineStr"/>
      <c r="G18" s="40" t="inlineStr"/>
      <c r="H18" s="40" t="inlineStr"/>
      <c r="I18" s="40" t="inlineStr"/>
      <c r="J18" s="40" t="inlineStr"/>
      <c r="K18" s="40" t="inlineStr"/>
      <c r="L18" s="40" t="inlineStr"/>
      <c r="M18" s="40" t="inlineStr"/>
      <c r="N18" s="40" t="inlineStr"/>
      <c r="O18" s="40" t="inlineStr"/>
      <c r="P18" s="40" t="inlineStr"/>
      <c r="Q18" s="40" t="inlineStr"/>
    </row>
    <row r="19" ht="18" customHeight="1">
      <c r="A19" s="39" t="inlineStr"/>
      <c r="B19" s="39" t="inlineStr"/>
      <c r="C19" s="39" t="inlineStr"/>
      <c r="D19" s="39" t="inlineStr"/>
      <c r="E19" s="39" t="inlineStr"/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</row>
    <row r="20" ht="18" customHeight="1">
      <c r="A20" s="40" t="inlineStr"/>
      <c r="B20" s="40" t="inlineStr"/>
      <c r="C20" s="40" t="inlineStr"/>
      <c r="D20" s="40" t="inlineStr"/>
      <c r="E20" s="40" t="inlineStr"/>
      <c r="F20" s="40" t="inlineStr"/>
      <c r="G20" s="40" t="inlineStr"/>
      <c r="H20" s="40" t="inlineStr"/>
      <c r="I20" s="40" t="inlineStr"/>
      <c r="J20" s="40" t="inlineStr"/>
      <c r="K20" s="40" t="inlineStr"/>
      <c r="L20" s="40" t="inlineStr"/>
      <c r="M20" s="40" t="inlineStr"/>
      <c r="N20" s="40" t="inlineStr"/>
      <c r="O20" s="40" t="inlineStr"/>
      <c r="P20" s="40" t="inlineStr"/>
      <c r="Q20" s="40" t="inlineStr"/>
    </row>
    <row r="21" ht="18" customHeight="1">
      <c r="A21" s="39" t="inlineStr"/>
      <c r="B21" s="39" t="inlineStr"/>
      <c r="C21" s="39" t="inlineStr"/>
      <c r="D21" s="39" t="inlineStr"/>
      <c r="E21" s="39" t="inlineStr"/>
      <c r="F21" s="39" t="inlineStr"/>
      <c r="G21" s="39" t="inlineStr"/>
      <c r="H21" s="39" t="inlineStr"/>
      <c r="I21" s="39" t="inlineStr"/>
      <c r="J21" s="39" t="inlineStr"/>
      <c r="K21" s="39" t="inlineStr"/>
      <c r="L21" s="39" t="inlineStr"/>
      <c r="M21" s="39" t="inlineStr"/>
      <c r="N21" s="39" t="inlineStr"/>
      <c r="O21" s="39" t="inlineStr"/>
      <c r="P21" s="39" t="inlineStr"/>
      <c r="Q21" s="39" t="inlineStr"/>
    </row>
    <row r="22" ht="18" customHeight="1">
      <c r="A22" s="40" t="inlineStr"/>
      <c r="B22" s="40" t="inlineStr"/>
      <c r="C22" s="40" t="inlineStr"/>
      <c r="D22" s="40" t="inlineStr"/>
      <c r="E22" s="40" t="inlineStr"/>
      <c r="F22" s="40" t="inlineStr"/>
      <c r="G22" s="40" t="inlineStr"/>
      <c r="H22" s="40" t="inlineStr"/>
      <c r="I22" s="40" t="inlineStr"/>
      <c r="J22" s="40" t="inlineStr"/>
      <c r="K22" s="40" t="inlineStr"/>
      <c r="L22" s="40" t="inlineStr"/>
      <c r="M22" s="40" t="inlineStr"/>
      <c r="N22" s="40" t="inlineStr"/>
      <c r="O22" s="40" t="inlineStr"/>
      <c r="P22" s="40" t="inlineStr"/>
      <c r="Q22" s="40" t="inlineStr"/>
    </row>
    <row r="23" ht="18" customHeight="1">
      <c r="A23" s="39" t="inlineStr"/>
      <c r="B23" s="39" t="inlineStr"/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  <c r="M23" s="39" t="inlineStr"/>
      <c r="N23" s="39" t="inlineStr"/>
      <c r="O23" s="39" t="inlineStr"/>
      <c r="P23" s="39" t="inlineStr"/>
      <c r="Q23" s="39" t="inlineStr"/>
    </row>
    <row r="24" ht="18" customHeight="1">
      <c r="A24" s="40" t="inlineStr"/>
      <c r="B24" s="40" t="inlineStr"/>
      <c r="C24" s="40" t="inlineStr"/>
      <c r="D24" s="40" t="inlineStr"/>
      <c r="E24" s="40" t="inlineStr"/>
      <c r="F24" s="40" t="inlineStr"/>
      <c r="G24" s="40" t="inlineStr"/>
      <c r="H24" s="40" t="inlineStr"/>
      <c r="I24" s="40" t="inlineStr"/>
      <c r="J24" s="40" t="inlineStr"/>
      <c r="K24" s="40" t="inlineStr"/>
      <c r="L24" s="40" t="inlineStr"/>
      <c r="M24" s="40" t="inlineStr"/>
      <c r="N24" s="40" t="inlineStr"/>
      <c r="O24" s="40" t="inlineStr"/>
      <c r="P24" s="40" t="inlineStr"/>
      <c r="Q24" s="40" t="inlineStr"/>
    </row>
    <row r="25" ht="18" customHeight="1">
      <c r="A25" s="39" t="inlineStr"/>
      <c r="B25" s="39" t="inlineStr"/>
      <c r="C25" s="39" t="inlineStr"/>
      <c r="D25" s="39" t="inlineStr"/>
      <c r="E25" s="39" t="inlineStr"/>
      <c r="F25" s="39" t="inlineStr"/>
      <c r="G25" s="39" t="inlineStr"/>
      <c r="H25" s="39" t="inlineStr"/>
      <c r="I25" s="39" t="inlineStr"/>
      <c r="J25" s="39" t="inlineStr"/>
      <c r="K25" s="39" t="inlineStr"/>
      <c r="L25" s="39" t="inlineStr"/>
      <c r="M25" s="39" t="inlineStr"/>
      <c r="N25" s="39" t="inlineStr"/>
      <c r="O25" s="39" t="inlineStr"/>
      <c r="P25" s="39" t="inlineStr"/>
      <c r="Q25" s="39" t="inlineStr"/>
    </row>
    <row r="26" ht="18" customHeight="1">
      <c r="A26" s="40" t="inlineStr"/>
      <c r="B26" s="40" t="inlineStr"/>
      <c r="C26" s="40" t="inlineStr"/>
      <c r="D26" s="40" t="inlineStr"/>
      <c r="E26" s="40" t="inlineStr"/>
      <c r="F26" s="40" t="inlineStr"/>
      <c r="G26" s="40" t="inlineStr"/>
      <c r="H26" s="40" t="inlineStr"/>
      <c r="I26" s="40" t="inlineStr"/>
      <c r="J26" s="40" t="inlineStr"/>
      <c r="K26" s="40" t="inlineStr"/>
      <c r="L26" s="40" t="inlineStr"/>
      <c r="M26" s="40" t="inlineStr"/>
      <c r="N26" s="40" t="inlineStr"/>
      <c r="O26" s="40" t="inlineStr"/>
      <c r="P26" s="40" t="inlineStr"/>
      <c r="Q26" s="40" t="inlineStr"/>
    </row>
    <row r="27" ht="18" customHeight="1">
      <c r="A27" s="39" t="inlineStr"/>
      <c r="B27" s="39" t="inlineStr"/>
      <c r="C27" s="39" t="inlineStr"/>
      <c r="D27" s="39" t="inlineStr"/>
      <c r="E27" s="39" t="inlineStr"/>
      <c r="F27" s="39" t="inlineStr"/>
      <c r="G27" s="39" t="inlineStr"/>
      <c r="H27" s="39" t="inlineStr"/>
      <c r="I27" s="39" t="inlineStr"/>
      <c r="J27" s="39" t="inlineStr"/>
      <c r="K27" s="39" t="inlineStr"/>
      <c r="L27" s="39" t="inlineStr"/>
      <c r="M27" s="39" t="inlineStr"/>
      <c r="N27" s="39" t="inlineStr"/>
      <c r="O27" s="39" t="inlineStr"/>
      <c r="P27" s="39" t="inlineStr"/>
      <c r="Q27" s="39" t="inlineStr"/>
    </row>
    <row r="28" ht="18" customHeight="1">
      <c r="A28" s="40" t="inlineStr"/>
      <c r="B28" s="40" t="inlineStr"/>
      <c r="C28" s="40" t="inlineStr"/>
      <c r="D28" s="40" t="inlineStr"/>
      <c r="E28" s="40" t="inlineStr"/>
      <c r="F28" s="40" t="inlineStr"/>
      <c r="G28" s="40" t="inlineStr"/>
      <c r="H28" s="40" t="inlineStr"/>
      <c r="I28" s="40" t="inlineStr"/>
      <c r="J28" s="40" t="inlineStr"/>
      <c r="K28" s="40" t="inlineStr"/>
      <c r="L28" s="40" t="inlineStr"/>
      <c r="M28" s="40" t="inlineStr"/>
      <c r="N28" s="40" t="inlineStr"/>
      <c r="O28" s="40" t="inlineStr"/>
      <c r="P28" s="40" t="inlineStr"/>
      <c r="Q28" s="40" t="inlineStr"/>
    </row>
    <row r="29" ht="18" customHeight="1">
      <c r="A29" s="39" t="inlineStr"/>
      <c r="B29" s="39" t="inlineStr"/>
      <c r="C29" s="39" t="inlineStr"/>
      <c r="D29" s="39" t="inlineStr"/>
      <c r="E29" s="39" t="inlineStr"/>
      <c r="F29" s="39" t="inlineStr"/>
      <c r="G29" s="39" t="inlineStr"/>
      <c r="H29" s="39" t="inlineStr"/>
      <c r="I29" s="39" t="inlineStr"/>
      <c r="J29" s="39" t="inlineStr"/>
      <c r="K29" s="39" t="inlineStr"/>
      <c r="L29" s="39" t="inlineStr"/>
      <c r="M29" s="39" t="inlineStr"/>
      <c r="N29" s="39" t="inlineStr"/>
      <c r="O29" s="39" t="inlineStr"/>
      <c r="P29" s="39" t="inlineStr"/>
      <c r="Q29" s="39" t="inlineStr"/>
    </row>
    <row r="30" ht="18" customHeight="1">
      <c r="A30" s="40" t="inlineStr"/>
      <c r="B30" s="40" t="inlineStr"/>
      <c r="C30" s="40" t="inlineStr"/>
      <c r="D30" s="40" t="inlineStr"/>
      <c r="E30" s="40" t="inlineStr"/>
      <c r="F30" s="40" t="inlineStr"/>
      <c r="G30" s="40" t="inlineStr"/>
      <c r="H30" s="40" t="inlineStr"/>
      <c r="I30" s="40" t="inlineStr"/>
      <c r="J30" s="40" t="inlineStr"/>
      <c r="K30" s="40" t="inlineStr"/>
      <c r="L30" s="40" t="inlineStr"/>
      <c r="M30" s="40" t="inlineStr"/>
      <c r="N30" s="40" t="inlineStr"/>
      <c r="O30" s="40" t="inlineStr"/>
      <c r="P30" s="40" t="inlineStr"/>
      <c r="Q30" s="40" t="inlineStr"/>
    </row>
    <row r="31" ht="18" customHeight="1">
      <c r="A31" s="39" t="inlineStr"/>
      <c r="B31" s="39" t="inlineStr"/>
      <c r="C31" s="39" t="inlineStr"/>
      <c r="D31" s="39" t="inlineStr"/>
      <c r="E31" s="39" t="inlineStr"/>
      <c r="F31" s="39" t="inlineStr"/>
      <c r="G31" s="39" t="inlineStr"/>
      <c r="H31" s="39" t="inlineStr"/>
      <c r="I31" s="39" t="inlineStr"/>
      <c r="J31" s="39" t="inlineStr"/>
      <c r="K31" s="39" t="inlineStr"/>
      <c r="L31" s="39" t="inlineStr"/>
      <c r="M31" s="39" t="inlineStr"/>
      <c r="N31" s="39" t="inlineStr"/>
      <c r="O31" s="39" t="inlineStr"/>
      <c r="P31" s="39" t="inlineStr"/>
      <c r="Q31" s="39" t="inlineStr"/>
    </row>
    <row r="32" ht="18" customHeight="1">
      <c r="A32" s="40" t="inlineStr"/>
      <c r="B32" s="40" t="inlineStr"/>
      <c r="C32" s="40" t="inlineStr"/>
      <c r="D32" s="40" t="inlineStr"/>
      <c r="E32" s="40" t="inlineStr"/>
      <c r="F32" s="40" t="inlineStr"/>
      <c r="G32" s="40" t="inlineStr"/>
      <c r="H32" s="40" t="inlineStr"/>
      <c r="I32" s="40" t="inlineStr"/>
      <c r="J32" s="40" t="inlineStr"/>
      <c r="K32" s="40" t="inlineStr"/>
      <c r="L32" s="40" t="inlineStr"/>
      <c r="M32" s="40" t="inlineStr"/>
      <c r="N32" s="40" t="inlineStr"/>
      <c r="O32" s="40" t="inlineStr"/>
      <c r="P32" s="40" t="inlineStr"/>
      <c r="Q32" s="40" t="inlineStr"/>
    </row>
    <row r="33" ht="18" customHeight="1">
      <c r="A33" s="39" t="inlineStr"/>
      <c r="B33" s="39" t="inlineStr"/>
      <c r="C33" s="39" t="inlineStr"/>
      <c r="D33" s="39" t="inlineStr"/>
      <c r="E33" s="39" t="inlineStr"/>
      <c r="F33" s="39" t="inlineStr"/>
      <c r="G33" s="39" t="inlineStr"/>
      <c r="H33" s="39" t="inlineStr"/>
      <c r="I33" s="39" t="inlineStr"/>
      <c r="J33" s="39" t="inlineStr"/>
      <c r="K33" s="39" t="inlineStr"/>
      <c r="L33" s="39" t="inlineStr"/>
      <c r="M33" s="39" t="inlineStr"/>
      <c r="N33" s="39" t="inlineStr"/>
      <c r="O33" s="39" t="inlineStr"/>
      <c r="P33" s="39" t="inlineStr"/>
      <c r="Q33" s="39" t="inlineStr"/>
    </row>
  </sheetData>
  <mergeCells count="9">
    <mergeCell ref="O2:P2"/>
    <mergeCell ref="M2:N2"/>
    <mergeCell ref="A2:B2"/>
    <mergeCell ref="C2:D2"/>
    <mergeCell ref="G2:H2"/>
    <mergeCell ref="E2:F2"/>
    <mergeCell ref="A1:P1"/>
    <mergeCell ref="I2:J2"/>
    <mergeCell ref="K2:L2"/>
  </mergeCells>
  <dataValidations count="1">
    <dataValidation sqref="P4:P1003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5" customWidth="1" min="4" max="4"/>
    <col width="13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29" t="inlineStr">
        <is>
          <t>EXPENSE TRACKER  —  Log all property expenses for tax reporting</t>
        </is>
      </c>
    </row>
    <row r="2" ht="18" customHeight="1">
      <c r="A2" s="41" t="inlineStr">
        <is>
          <t>YTD TOTAL:</t>
        </is>
      </c>
      <c r="B2" s="42">
        <f>SUMIF(E5:E1000,"&lt;&gt;",E5:E1000)</f>
        <v/>
      </c>
    </row>
    <row r="3" ht="8" customHeight="1"/>
    <row r="4" ht="22" customHeight="1">
      <c r="A4" s="34" t="inlineStr">
        <is>
          <t>Date</t>
        </is>
      </c>
      <c r="B4" s="34" t="inlineStr">
        <is>
          <t>Category</t>
        </is>
      </c>
      <c r="C4" s="34" t="inlineStr">
        <is>
          <t>Sub-Category</t>
        </is>
      </c>
      <c r="D4" s="34" t="inlineStr">
        <is>
          <t>Description</t>
        </is>
      </c>
      <c r="E4" s="34" t="inlineStr">
        <is>
          <t>Amount (€)</t>
        </is>
      </c>
      <c r="F4" s="34" t="inlineStr">
        <is>
          <t>Receipt</t>
        </is>
      </c>
      <c r="G4" s="34" t="inlineStr">
        <is>
          <t>Tax Deductible</t>
        </is>
      </c>
      <c r="H4" s="34" t="inlineStr">
        <is>
          <t>Notes</t>
        </is>
      </c>
    </row>
    <row r="5" ht="18" customHeight="1">
      <c r="A5" s="28" t="inlineStr">
        <is>
          <t>2025-06-01</t>
        </is>
      </c>
      <c r="B5" s="28" t="inlineStr">
        <is>
          <t>Cleaning</t>
        </is>
      </c>
      <c r="C5" s="28" t="inlineStr">
        <is>
          <t>Turnover Clean</t>
        </is>
      </c>
      <c r="D5" s="28" t="inlineStr">
        <is>
          <t>June 10 turnover — 2BR clean</t>
        </is>
      </c>
      <c r="E5" s="35" t="n">
        <v>80</v>
      </c>
      <c r="F5" s="28" t="inlineStr">
        <is>
          <t>Yes</t>
        </is>
      </c>
      <c r="G5" s="28" t="inlineStr">
        <is>
          <t>Yes</t>
        </is>
      </c>
      <c r="H5" s="28" t="inlineStr">
        <is>
          <t>BK-001</t>
        </is>
      </c>
    </row>
    <row r="6" ht="18" customHeight="1">
      <c r="A6" s="27" t="inlineStr">
        <is>
          <t>2025-06-01</t>
        </is>
      </c>
      <c r="B6" s="27" t="inlineStr">
        <is>
          <t>Cleaning</t>
        </is>
      </c>
      <c r="C6" s="27" t="inlineStr">
        <is>
          <t>Turnover Clean</t>
        </is>
      </c>
      <c r="D6" s="27" t="inlineStr">
        <is>
          <t>June 18 turnover — 2BR clean</t>
        </is>
      </c>
      <c r="E6" s="37" t="n">
        <v>80</v>
      </c>
      <c r="F6" s="27" t="inlineStr">
        <is>
          <t>Yes</t>
        </is>
      </c>
      <c r="G6" s="27" t="inlineStr">
        <is>
          <t>Yes</t>
        </is>
      </c>
      <c r="H6" s="27" t="inlineStr">
        <is>
          <t>BK-002</t>
        </is>
      </c>
    </row>
    <row r="7" ht="18" customHeight="1">
      <c r="A7" s="28" t="inlineStr">
        <is>
          <t>2025-06-05</t>
        </is>
      </c>
      <c r="B7" s="28" t="inlineStr">
        <is>
          <t>Supplies</t>
        </is>
      </c>
      <c r="C7" s="28" t="inlineStr">
        <is>
          <t>Consumables</t>
        </is>
      </c>
      <c r="D7" s="28" t="inlineStr">
        <is>
          <t>Coffee pods, tea, toiletries restock</t>
        </is>
      </c>
      <c r="E7" s="35" t="n">
        <v>28</v>
      </c>
      <c r="F7" s="28" t="inlineStr">
        <is>
          <t>Yes</t>
        </is>
      </c>
      <c r="G7" s="28" t="inlineStr">
        <is>
          <t>Yes</t>
        </is>
      </c>
      <c r="H7" s="28" t="inlineStr">
        <is>
          <t>Receipt #47</t>
        </is>
      </c>
    </row>
    <row r="8" ht="18" customHeight="1">
      <c r="A8" s="27" t="inlineStr">
        <is>
          <t>2025-06-08</t>
        </is>
      </c>
      <c r="B8" s="27" t="inlineStr">
        <is>
          <t>Maintenance</t>
        </is>
      </c>
      <c r="C8" s="27" t="inlineStr">
        <is>
          <t>Minor Repair</t>
        </is>
      </c>
      <c r="D8" s="27" t="inlineStr">
        <is>
          <t>Kitchen tap washer replacement</t>
        </is>
      </c>
      <c r="E8" s="37" t="n">
        <v>22</v>
      </c>
      <c r="F8" s="27" t="inlineStr">
        <is>
          <t>Yes</t>
        </is>
      </c>
      <c r="G8" s="27" t="inlineStr">
        <is>
          <t>Yes</t>
        </is>
      </c>
      <c r="H8" s="27" t="inlineStr">
        <is>
          <t>Self-fix</t>
        </is>
      </c>
    </row>
    <row r="9" ht="18" customHeight="1">
      <c r="A9" s="28" t="inlineStr">
        <is>
          <t>2025-06-15</t>
        </is>
      </c>
      <c r="B9" s="28" t="inlineStr">
        <is>
          <t>Platform Fees</t>
        </is>
      </c>
      <c r="C9" s="28" t="inlineStr">
        <is>
          <t>Airbnb Host Fee</t>
        </is>
      </c>
      <c r="D9" s="28" t="inlineStr">
        <is>
          <t>June platform fees (auto-deducted)</t>
        </is>
      </c>
      <c r="E9" s="35" t="n">
        <v>126</v>
      </c>
      <c r="F9" s="28" t="inlineStr">
        <is>
          <t>No</t>
        </is>
      </c>
      <c r="G9" s="28" t="inlineStr">
        <is>
          <t>Yes</t>
        </is>
      </c>
      <c r="H9" s="28" t="inlineStr">
        <is>
          <t>Auto from payout</t>
        </is>
      </c>
    </row>
    <row r="10" ht="18" customHeight="1">
      <c r="A10" s="27" t="inlineStr">
        <is>
          <t>2025-06-20</t>
        </is>
      </c>
      <c r="B10" s="27" t="inlineStr">
        <is>
          <t>Utilities</t>
        </is>
      </c>
      <c r="C10" s="27" t="inlineStr">
        <is>
          <t>Internet</t>
        </is>
      </c>
      <c r="D10" s="27" t="inlineStr">
        <is>
          <t>Monthly broadband — June</t>
        </is>
      </c>
      <c r="E10" s="37" t="n">
        <v>45</v>
      </c>
      <c r="F10" s="27" t="inlineStr">
        <is>
          <t>Yes</t>
        </is>
      </c>
      <c r="G10" s="27" t="inlineStr">
        <is>
          <t>Yes</t>
        </is>
      </c>
      <c r="H10" s="27" t="inlineStr">
        <is>
          <t>ISP invoice</t>
        </is>
      </c>
    </row>
    <row r="11" ht="18" customHeight="1">
      <c r="A11" s="28" t="inlineStr">
        <is>
          <t>2025-06-20</t>
        </is>
      </c>
      <c r="B11" s="28" t="inlineStr">
        <is>
          <t>Utilities</t>
        </is>
      </c>
      <c r="C11" s="28" t="inlineStr">
        <is>
          <t>Electricity</t>
        </is>
      </c>
      <c r="D11" s="28" t="inlineStr">
        <is>
          <t>June electricity bill</t>
        </is>
      </c>
      <c r="E11" s="35" t="n">
        <v>90</v>
      </c>
      <c r="F11" s="28" t="inlineStr">
        <is>
          <t>Yes</t>
        </is>
      </c>
      <c r="G11" s="28" t="inlineStr">
        <is>
          <t>Yes</t>
        </is>
      </c>
      <c r="H11" s="28" t="inlineStr">
        <is>
          <t>Utility invoice</t>
        </is>
      </c>
    </row>
    <row r="12" ht="18" customHeight="1">
      <c r="A12" s="27" t="inlineStr">
        <is>
          <t>2025-06-20</t>
        </is>
      </c>
      <c r="B12" s="27" t="inlineStr">
        <is>
          <t>Insurance</t>
        </is>
      </c>
      <c r="C12" s="27" t="inlineStr">
        <is>
          <t>STR Insurance</t>
        </is>
      </c>
      <c r="D12" s="27" t="inlineStr">
        <is>
          <t>Monthly short-term rental insurance premium</t>
        </is>
      </c>
      <c r="E12" s="37" t="n">
        <v>55</v>
      </c>
      <c r="F12" s="27" t="inlineStr">
        <is>
          <t>Yes</t>
        </is>
      </c>
      <c r="G12" s="27" t="inlineStr">
        <is>
          <t>Yes</t>
        </is>
      </c>
      <c r="H12" s="27" t="inlineStr">
        <is>
          <t>Policy #XYZ</t>
        </is>
      </c>
    </row>
    <row r="13" ht="18" customHeight="1">
      <c r="A13" s="28" t="inlineStr">
        <is>
          <t>2025-06-01</t>
        </is>
      </c>
      <c r="B13" s="28" t="inlineStr">
        <is>
          <t>Mortgage/Rent</t>
        </is>
      </c>
      <c r="C13" s="28" t="inlineStr">
        <is>
          <t>Monthly Payment</t>
        </is>
      </c>
      <c r="D13" s="28" t="inlineStr">
        <is>
          <t>June mortgage payment (property portion)</t>
        </is>
      </c>
      <c r="E13" s="35" t="n">
        <v>850</v>
      </c>
      <c r="F13" s="28" t="inlineStr">
        <is>
          <t>Yes</t>
        </is>
      </c>
      <c r="G13" s="28" t="inlineStr">
        <is>
          <t>Yes</t>
        </is>
      </c>
      <c r="H13" s="28" t="inlineStr">
        <is>
          <t>See accountant for % calc</t>
        </is>
      </c>
    </row>
    <row r="14" ht="18" customHeight="1">
      <c r="A14" s="27" t="inlineStr">
        <is>
          <t>2025-06-22</t>
        </is>
      </c>
      <c r="B14" s="27" t="inlineStr">
        <is>
          <t>Supplies</t>
        </is>
      </c>
      <c r="C14" s="27" t="inlineStr">
        <is>
          <t>Welcome Pack</t>
        </is>
      </c>
      <c r="D14" s="27" t="inlineStr">
        <is>
          <t>Wine, coffee, local treats for 2 guests</t>
        </is>
      </c>
      <c r="E14" s="37" t="n">
        <v>16</v>
      </c>
      <c r="F14" s="27" t="inlineStr">
        <is>
          <t>Yes</t>
        </is>
      </c>
      <c r="G14" s="27" t="inlineStr">
        <is>
          <t>Yes</t>
        </is>
      </c>
      <c r="H14" s="27" t="inlineStr">
        <is>
          <t>BK-001, BK-002</t>
        </is>
      </c>
    </row>
    <row r="15" ht="18" customHeight="1">
      <c r="A15" s="28" t="inlineStr">
        <is>
          <t>[DATE]</t>
        </is>
      </c>
      <c r="B15" s="28" t="inlineStr">
        <is>
          <t>[CATEGORY]</t>
        </is>
      </c>
      <c r="C15" s="28" t="inlineStr"/>
      <c r="D15" s="28" t="inlineStr">
        <is>
          <t>[DESCRIPTION]</t>
        </is>
      </c>
      <c r="E15" s="28" t="inlineStr"/>
      <c r="F15" s="28" t="inlineStr"/>
      <c r="G15" s="28" t="inlineStr"/>
      <c r="H15" s="28" t="inlineStr"/>
    </row>
  </sheetData>
  <mergeCells count="2">
    <mergeCell ref="A1:J1"/>
    <mergeCell ref="B2:D2"/>
  </mergeCells>
  <dataValidations count="2">
    <dataValidation sqref="B5:B1004" showDropDown="0" showInputMessage="0" showErrorMessage="0" allowBlank="1" type="list">
      <formula1>"Cleaning,Supplies,Maintenance,Platform Fees,Utilities,Insurance,Mortgage/Rent,Furnishings,Marketing,Professional Services,Other"</formula1>
    </dataValidation>
    <dataValidation sqref="F5:F1004 G5:G10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6" customWidth="1" min="4" max="4"/>
    <col width="14" customWidth="1" min="5" max="5"/>
    <col width="28" customWidth="1" min="6" max="6"/>
  </cols>
  <sheetData>
    <row r="1" ht="30" customHeight="1">
      <c r="A1" s="29" t="inlineStr">
        <is>
          <t>PRICING CALCULATOR  —  Find Your Optimal Nightly Rate</t>
        </is>
      </c>
    </row>
    <row r="2" ht="12" customHeight="1"/>
    <row r="3" ht="26" customHeight="1">
      <c r="A3" s="10" t="inlineStr">
        <is>
          <t xml:space="preserve">  STEP 1 — MONTHLY COST INPUTS</t>
        </is>
      </c>
      <c r="E3" s="43" t="inlineStr">
        <is>
          <t xml:space="preserve">  CALCULATED RATES</t>
        </is>
      </c>
    </row>
    <row r="4" ht="20" customHeight="1">
      <c r="A4" s="44" t="inlineStr">
        <is>
          <t>Mortgage / Rent (monthly €)</t>
        </is>
      </c>
      <c r="C4" s="45" t="n">
        <v>850</v>
      </c>
      <c r="E4" s="44" t="inlineStr">
        <is>
          <t>Total fixed monthly costs</t>
        </is>
      </c>
      <c r="F4" s="46">
        <f>(C4+C5+C6+C7+C8)</f>
        <v/>
      </c>
    </row>
    <row r="5" ht="20" customHeight="1">
      <c r="A5" s="47" t="inlineStr">
        <is>
          <t>Utilities — Electricity (monthly €)</t>
        </is>
      </c>
      <c r="C5" s="45" t="n">
        <v>90</v>
      </c>
      <c r="E5" s="47" t="inlineStr">
        <is>
          <t>Variable cost per turnover</t>
        </is>
      </c>
      <c r="F5" s="48">
        <f>(C9+C10+C11)</f>
        <v/>
      </c>
    </row>
    <row r="6" ht="20" customHeight="1">
      <c r="A6" s="44" t="inlineStr">
        <is>
          <t>Utilities — Gas / Heating (monthly €)</t>
        </is>
      </c>
      <c r="C6" s="45" t="n">
        <v>50</v>
      </c>
      <c r="E6" s="44" t="inlineStr">
        <is>
          <t>Total variable costs (monthly)</t>
        </is>
      </c>
      <c r="F6" s="46">
        <f>F5*C16</f>
        <v/>
      </c>
    </row>
    <row r="7" ht="20" customHeight="1">
      <c r="A7" s="47" t="inlineStr">
        <is>
          <t>Utilities — Internet (monthly €)</t>
        </is>
      </c>
      <c r="C7" s="45" t="n">
        <v>45</v>
      </c>
      <c r="E7" s="47" t="inlineStr">
        <is>
          <t>Total monthly costs</t>
        </is>
      </c>
      <c r="F7" s="48">
        <f>F4+F6</f>
        <v/>
      </c>
    </row>
    <row r="8" ht="20" customHeight="1">
      <c r="A8" s="44" t="inlineStr">
        <is>
          <t>Insurance — STR policy (monthly €)</t>
        </is>
      </c>
      <c r="C8" s="45" t="n">
        <v>55</v>
      </c>
      <c r="E8" s="44" t="inlineStr">
        <is>
          <t>Break-even nightly rate</t>
        </is>
      </c>
      <c r="F8" s="46">
        <f>F7/C18</f>
        <v/>
      </c>
    </row>
    <row r="9" ht="20" customHeight="1">
      <c r="A9" s="47" t="inlineStr">
        <is>
          <t>Cleaning cost per turnover (€)</t>
        </is>
      </c>
      <c r="C9" s="45" t="n">
        <v>80</v>
      </c>
      <c r="E9" s="47" t="inlineStr">
        <is>
          <t>Min viable rate (10% margin)</t>
        </is>
      </c>
      <c r="F9" s="48">
        <f>F8*1.10</f>
        <v/>
      </c>
    </row>
    <row r="10" ht="20" customHeight="1">
      <c r="A10" s="44" t="inlineStr">
        <is>
          <t>Consumables per turnover (€)</t>
        </is>
      </c>
      <c r="C10" s="45" t="n">
        <v>30</v>
      </c>
      <c r="E10" s="49" t="inlineStr">
        <is>
          <t>Recommended base rate</t>
        </is>
      </c>
      <c r="F10" s="50">
        <f>F8*1.25</f>
        <v/>
      </c>
    </row>
    <row r="11" ht="20" customHeight="1">
      <c r="A11" s="47" t="inlineStr">
        <is>
          <t>Welcome pack per booking (€)</t>
        </is>
      </c>
      <c r="C11" s="45" t="n">
        <v>12</v>
      </c>
      <c r="E11" s="47" t="inlineStr">
        <is>
          <t>Weekend premium rate (+25%)</t>
        </is>
      </c>
      <c r="F11" s="48">
        <f>F10*1.25</f>
        <v/>
      </c>
    </row>
    <row r="12" ht="20" customHeight="1">
      <c r="A12" s="44" t="inlineStr">
        <is>
          <t>Platform fee % (Airbnb host fee)</t>
        </is>
      </c>
      <c r="C12" s="45" t="n">
        <v>3</v>
      </c>
      <c r="E12" s="44" t="inlineStr">
        <is>
          <t>Peak season rate (+50%)</t>
        </is>
      </c>
      <c r="F12" s="46">
        <f>F10*1.50</f>
        <v/>
      </c>
    </row>
    <row r="13" ht="20" customHeight="1">
      <c r="A13" s="47" t="inlineStr">
        <is>
          <t>Tax rate on income (%)</t>
        </is>
      </c>
      <c r="C13" s="51" t="n">
        <v>20</v>
      </c>
      <c r="E13" s="47" t="inlineStr">
        <is>
          <t>Monthly revenue at base rate</t>
        </is>
      </c>
      <c r="F13" s="48">
        <f>F10*C18</f>
        <v/>
      </c>
    </row>
    <row r="14" ht="20" customHeight="1">
      <c r="E14" s="44" t="inlineStr">
        <is>
          <t>Monthly revenue at occupancy target</t>
        </is>
      </c>
      <c r="F14" s="46">
        <f>F10*C18*0.75</f>
        <v/>
      </c>
    </row>
    <row r="15" ht="20" customHeight="1">
      <c r="A15" s="10" t="inlineStr">
        <is>
          <t xml:space="preserve">  STEP 2 — OCCUPANCY TARGETS</t>
        </is>
      </c>
      <c r="E15" s="52" t="inlineStr">
        <is>
          <t>Estimated monthly net profit</t>
        </is>
      </c>
      <c r="F15" s="53">
        <f>F14-F7</f>
        <v/>
      </c>
    </row>
    <row r="16" ht="20" customHeight="1">
      <c r="A16" s="44" t="inlineStr">
        <is>
          <t>Target bookings per month</t>
        </is>
      </c>
      <c r="C16" s="54" t="n">
        <v>6</v>
      </c>
    </row>
    <row r="17" ht="20" customHeight="1">
      <c r="A17" s="47" t="inlineStr">
        <is>
          <t>Average nights per booking</t>
        </is>
      </c>
      <c r="C17" s="54" t="n">
        <v>3</v>
      </c>
    </row>
    <row r="18" ht="20" customHeight="1">
      <c r="A18" s="44" t="inlineStr">
        <is>
          <t>Total nights booked per month</t>
        </is>
      </c>
      <c r="C18" s="54">
        <f>C16*C17</f>
        <v/>
      </c>
    </row>
    <row r="19" ht="20" customHeight="1">
      <c r="A19" s="47" t="inlineStr">
        <is>
          <t>Nights available per month</t>
        </is>
      </c>
      <c r="C19" s="54" t="n">
        <v>28</v>
      </c>
    </row>
    <row r="20" ht="20" customHeight="1">
      <c r="A20" s="44" t="inlineStr">
        <is>
          <t>Target occupancy rate</t>
        </is>
      </c>
      <c r="C20" s="55">
        <f>C18/C19</f>
        <v/>
      </c>
    </row>
    <row r="22" ht="12" customHeight="1"/>
    <row r="23" ht="26" customHeight="1">
      <c r="A23" s="10" t="inlineStr">
        <is>
          <t xml:space="preserve">  SEASONAL PRICING GUIDE</t>
        </is>
      </c>
    </row>
    <row r="24" ht="22" customHeight="1">
      <c r="A24" s="25" t="inlineStr">
        <is>
          <t>Season</t>
        </is>
      </c>
      <c r="B24" s="25" t="inlineStr">
        <is>
          <t>Period</t>
        </is>
      </c>
      <c r="C24" s="25" t="inlineStr">
        <is>
          <t>Multiplier</t>
        </is>
      </c>
      <c r="D24" s="25" t="inlineStr">
        <is>
          <t>Rate Formula</t>
        </is>
      </c>
      <c r="E24" s="25" t="inlineStr">
        <is>
          <t>Example Rate</t>
        </is>
      </c>
      <c r="F24" s="25" t="inlineStr">
        <is>
          <t>Notes</t>
        </is>
      </c>
    </row>
    <row r="25" ht="18" customHeight="1">
      <c r="A25" s="28" t="inlineStr">
        <is>
          <t>Low Season</t>
        </is>
      </c>
      <c r="B25" s="28" t="inlineStr">
        <is>
          <t>Jan–Feb, Nov</t>
        </is>
      </c>
      <c r="C25" s="28" t="inlineStr">
        <is>
          <t>0.85×</t>
        </is>
      </c>
      <c r="D25" s="28">
        <f>F10*0.85</f>
        <v/>
      </c>
      <c r="E25" s="28" t="inlineStr">
        <is>
          <t>—</t>
        </is>
      </c>
      <c r="F25" s="28" t="inlineStr">
        <is>
          <t>Minimise vacancies, attract longer stays</t>
        </is>
      </c>
    </row>
    <row r="26" ht="18" customHeight="1">
      <c r="A26" s="27" t="inlineStr">
        <is>
          <t>Shoulder Season</t>
        </is>
      </c>
      <c r="B26" s="27" t="inlineStr">
        <is>
          <t>Mar–May, Sep–Oct</t>
        </is>
      </c>
      <c r="C26" s="27" t="inlineStr">
        <is>
          <t>1.00×</t>
        </is>
      </c>
      <c r="D26" s="27">
        <f>F10</f>
        <v/>
      </c>
      <c r="E26" s="27" t="inlineStr">
        <is>
          <t>—</t>
        </is>
      </c>
      <c r="F26" s="27" t="inlineStr">
        <is>
          <t>Base rate — standard period</t>
        </is>
      </c>
    </row>
    <row r="27" ht="18" customHeight="1">
      <c r="A27" s="28" t="inlineStr">
        <is>
          <t>High Season</t>
        </is>
      </c>
      <c r="B27" s="28" t="inlineStr">
        <is>
          <t>Jun–Aug, Dec</t>
        </is>
      </c>
      <c r="C27" s="28" t="inlineStr">
        <is>
          <t>1.35×</t>
        </is>
      </c>
      <c r="D27" s="28">
        <f>F10*1.35</f>
        <v/>
      </c>
      <c r="E27" s="28" t="inlineStr">
        <is>
          <t>—</t>
        </is>
      </c>
      <c r="F27" s="28" t="inlineStr">
        <is>
          <t>Increase minimum stay to 3–5 nights</t>
        </is>
      </c>
    </row>
    <row r="28" ht="18" customHeight="1">
      <c r="A28" s="27" t="inlineStr">
        <is>
          <t>Peak / Events</t>
        </is>
      </c>
      <c r="B28" s="27" t="inlineStr">
        <is>
          <t>Bank holidays, local events</t>
        </is>
      </c>
      <c r="C28" s="27" t="inlineStr">
        <is>
          <t>1.75×</t>
        </is>
      </c>
      <c r="D28" s="27">
        <f>F10*1.75</f>
        <v/>
      </c>
      <c r="E28" s="27" t="inlineStr">
        <is>
          <t>—</t>
        </is>
      </c>
      <c r="F28" s="27" t="inlineStr">
        <is>
          <t>Monitor local event calendars monthly</t>
        </is>
      </c>
    </row>
    <row r="29" ht="18" customHeight="1">
      <c r="A29" s="28" t="inlineStr">
        <is>
          <t>Last Minute (&lt;3 days)</t>
        </is>
      </c>
      <c r="B29" s="28" t="inlineStr">
        <is>
          <t>Any gap in calendar</t>
        </is>
      </c>
      <c r="C29" s="28" t="inlineStr">
        <is>
          <t>0.90×</t>
        </is>
      </c>
      <c r="D29" s="28">
        <f>F10*0.90</f>
        <v/>
      </c>
      <c r="E29" s="28" t="inlineStr">
        <is>
          <t>—</t>
        </is>
      </c>
      <c r="F29" s="28" t="inlineStr">
        <is>
          <t>Fill gaps — revenue beats vacancy</t>
        </is>
      </c>
    </row>
    <row r="30" ht="18" customHeight="1">
      <c r="A30" s="27" t="inlineStr">
        <is>
          <t>Long Stay (7+ nights)</t>
        </is>
      </c>
      <c r="B30" s="27" t="inlineStr">
        <is>
          <t>Any season</t>
        </is>
      </c>
      <c r="C30" s="27" t="inlineStr">
        <is>
          <t>0.92×</t>
        </is>
      </c>
      <c r="D30" s="27">
        <f>F10*0.92</f>
        <v/>
      </c>
      <c r="E30" s="27" t="inlineStr">
        <is>
          <t>—</t>
        </is>
      </c>
      <c r="F30" s="27" t="inlineStr">
        <is>
          <t>Offer weekly discount to fill calendar</t>
        </is>
      </c>
    </row>
  </sheetData>
  <mergeCells count="20">
    <mergeCell ref="A11:B11"/>
    <mergeCell ref="A3:C3"/>
    <mergeCell ref="A6:B6"/>
    <mergeCell ref="A16:B16"/>
    <mergeCell ref="A7:B7"/>
    <mergeCell ref="A23:F23"/>
    <mergeCell ref="A18:B18"/>
    <mergeCell ref="A12:B12"/>
    <mergeCell ref="A5:B5"/>
    <mergeCell ref="A17:B17"/>
    <mergeCell ref="A15:C15"/>
    <mergeCell ref="A8:B8"/>
    <mergeCell ref="A4:B4"/>
    <mergeCell ref="A20:B20"/>
    <mergeCell ref="A19:B19"/>
    <mergeCell ref="A1:F1"/>
    <mergeCell ref="A10:B10"/>
    <mergeCell ref="A13:B13"/>
    <mergeCell ref="A9:B9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30" customWidth="1" min="11" max="11"/>
  </cols>
  <sheetData>
    <row r="1" ht="30" customHeight="1">
      <c r="A1" s="29" t="inlineStr">
        <is>
          <t>CLEANING SCHEDULE  —  Track every turnover clean</t>
        </is>
      </c>
    </row>
    <row r="2" ht="22" customHeight="1">
      <c r="A2" s="34" t="inlineStr">
        <is>
          <t>Check-Out Date</t>
        </is>
      </c>
      <c r="B2" s="34" t="inlineStr">
        <is>
          <t>Check-In Date</t>
        </is>
      </c>
      <c r="C2" s="34" t="inlineStr">
        <is>
          <t>Booking Ref</t>
        </is>
      </c>
      <c r="D2" s="34" t="inlineStr">
        <is>
          <t>Cleaner</t>
        </is>
      </c>
      <c r="E2" s="34" t="inlineStr">
        <is>
          <t>Scheduled Time</t>
        </is>
      </c>
      <c r="F2" s="34" t="inlineStr">
        <is>
          <t>Duration (hrs)</t>
        </is>
      </c>
      <c r="G2" s="34" t="inlineStr">
        <is>
          <t>Rate / Hour (€)</t>
        </is>
      </c>
      <c r="H2" s="34" t="inlineStr">
        <is>
          <t>Total Cost (€)</t>
        </is>
      </c>
      <c r="I2" s="34" t="inlineStr">
        <is>
          <t>Status</t>
        </is>
      </c>
      <c r="J2" s="34" t="inlineStr">
        <is>
          <t>Quality Score</t>
        </is>
      </c>
      <c r="K2" s="34" t="inlineStr">
        <is>
          <t>Issues Found</t>
        </is>
      </c>
    </row>
    <row r="3" ht="18" customHeight="1">
      <c r="A3" s="14" t="inlineStr">
        <is>
          <t>2025-06-14</t>
        </is>
      </c>
      <c r="B3" s="14" t="inlineStr">
        <is>
          <t>2025-06-18</t>
        </is>
      </c>
      <c r="C3" s="14" t="inlineStr">
        <is>
          <t>BK-001</t>
        </is>
      </c>
      <c r="D3" s="28" t="inlineStr">
        <is>
          <t>[CLEANER NAME]</t>
        </is>
      </c>
      <c r="E3" s="14" t="inlineStr">
        <is>
          <t>10:00 AM</t>
        </is>
      </c>
      <c r="F3" s="14" t="n">
        <v>2.5</v>
      </c>
      <c r="G3" s="14" t="n">
        <v>32</v>
      </c>
      <c r="H3" s="13" t="n">
        <v>80</v>
      </c>
      <c r="I3" s="56" t="inlineStr">
        <is>
          <t>Complete</t>
        </is>
      </c>
      <c r="J3" s="36" t="n">
        <v>5</v>
      </c>
      <c r="K3" s="28" t="inlineStr">
        <is>
          <t>None</t>
        </is>
      </c>
    </row>
    <row r="4" ht="18" customHeight="1">
      <c r="A4" s="19" t="inlineStr">
        <is>
          <t>2025-06-21</t>
        </is>
      </c>
      <c r="B4" s="19" t="inlineStr">
        <is>
          <t>2025-06-25</t>
        </is>
      </c>
      <c r="C4" s="19" t="inlineStr">
        <is>
          <t>BK-002</t>
        </is>
      </c>
      <c r="D4" s="27" t="inlineStr">
        <is>
          <t>[CLEANER NAME]</t>
        </is>
      </c>
      <c r="E4" s="19" t="inlineStr">
        <is>
          <t>10:00 AM</t>
        </is>
      </c>
      <c r="F4" s="19" t="n">
        <v>2.5</v>
      </c>
      <c r="G4" s="19" t="n">
        <v>32</v>
      </c>
      <c r="H4" s="18" t="n">
        <v>80</v>
      </c>
      <c r="I4" s="57" t="inlineStr">
        <is>
          <t>Complete</t>
        </is>
      </c>
      <c r="J4" s="38" t="n">
        <v>4</v>
      </c>
      <c r="K4" s="27" t="inlineStr">
        <is>
          <t>Oven needed extra attention</t>
        </is>
      </c>
    </row>
    <row r="5" ht="18" customHeight="1">
      <c r="A5" s="14" t="inlineStr">
        <is>
          <t>[DATE]</t>
        </is>
      </c>
      <c r="B5" s="14" t="inlineStr">
        <is>
          <t>[DATE]</t>
        </is>
      </c>
      <c r="C5" s="14" t="inlineStr"/>
      <c r="D5" s="28" t="inlineStr"/>
      <c r="E5" s="14" t="inlineStr"/>
      <c r="F5" s="14" t="inlineStr"/>
      <c r="G5" s="14" t="inlineStr"/>
      <c r="H5" s="13" t="inlineStr"/>
      <c r="I5" s="14" t="inlineStr">
        <is>
          <t>Scheduled</t>
        </is>
      </c>
      <c r="J5" s="14" t="inlineStr"/>
      <c r="K5" s="28" t="inlineStr"/>
    </row>
  </sheetData>
  <mergeCells count="1">
    <mergeCell ref="A1:J1"/>
  </mergeCells>
  <dataValidations count="1">
    <dataValidation sqref="I3:I1002" showDropDown="0" showInputMessage="0" showErrorMessage="0" allowBlank="1" type="list">
      <formula1>"Scheduled,In Progress,Complete,Issue,Cancelled"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4" customWidth="1" min="5" max="5"/>
    <col width="16" customWidth="1" min="6" max="6"/>
    <col width="13" customWidth="1" min="7" max="7"/>
    <col width="13" customWidth="1" min="8" max="8"/>
    <col width="14" customWidth="1" min="9" max="9"/>
    <col width="16" customWidth="1" min="10" max="10"/>
    <col width="28" customWidth="1" min="11" max="11"/>
  </cols>
  <sheetData>
    <row r="1" ht="30" customHeight="1">
      <c r="A1" s="29" t="inlineStr">
        <is>
          <t>MAINTENANCE LOG  —  Track all property issues, repairs and replacements</t>
        </is>
      </c>
    </row>
    <row r="2" ht="22" customHeight="1">
      <c r="A2" s="34" t="inlineStr">
        <is>
          <t>Date Reported</t>
        </is>
      </c>
      <c r="B2" s="34" t="inlineStr">
        <is>
          <t>Issue</t>
        </is>
      </c>
      <c r="C2" s="34" t="inlineStr">
        <is>
          <t>Location</t>
        </is>
      </c>
      <c r="D2" s="34" t="inlineStr">
        <is>
          <t>Priority</t>
        </is>
      </c>
      <c r="E2" s="34" t="inlineStr">
        <is>
          <t>Status</t>
        </is>
      </c>
      <c r="F2" s="34" t="inlineStr">
        <is>
          <t>Assigned To</t>
        </is>
      </c>
      <c r="G2" s="34" t="inlineStr">
        <is>
          <t>Est. Cost (€)</t>
        </is>
      </c>
      <c r="H2" s="34" t="inlineStr">
        <is>
          <t>Actual Cost (€)</t>
        </is>
      </c>
      <c r="I2" s="34" t="inlineStr">
        <is>
          <t>Completion Date</t>
        </is>
      </c>
      <c r="J2" s="34" t="inlineStr">
        <is>
          <t>Reported By</t>
        </is>
      </c>
      <c r="K2" s="34" t="inlineStr">
        <is>
          <t>Notes</t>
        </is>
      </c>
    </row>
    <row r="3" ht="18" customHeight="1">
      <c r="A3" s="27" t="inlineStr">
        <is>
          <t>2025-06-05</t>
        </is>
      </c>
      <c r="B3" s="27" t="inlineStr">
        <is>
          <t>Kitchen tap dripping</t>
        </is>
      </c>
      <c r="C3" s="27" t="inlineStr">
        <is>
          <t>Kitchen</t>
        </is>
      </c>
      <c r="D3" s="58" t="inlineStr">
        <is>
          <t>Low</t>
        </is>
      </c>
      <c r="E3" s="58" t="inlineStr">
        <is>
          <t>Complete</t>
        </is>
      </c>
      <c r="F3" s="27" t="inlineStr">
        <is>
          <t>Self</t>
        </is>
      </c>
      <c r="G3" s="18" t="n">
        <v>15</v>
      </c>
      <c r="H3" s="18" t="n">
        <v>12</v>
      </c>
      <c r="I3" s="19" t="inlineStr">
        <is>
          <t>2025-06-06</t>
        </is>
      </c>
      <c r="J3" s="27" t="inlineStr">
        <is>
          <t>Host</t>
        </is>
      </c>
      <c r="K3" s="27" t="inlineStr">
        <is>
          <t>Replaced washer — fixed</t>
        </is>
      </c>
    </row>
    <row r="4" ht="18" customHeight="1">
      <c r="A4" s="27" t="inlineStr">
        <is>
          <t>2025-06-18</t>
        </is>
      </c>
      <c r="B4" s="27" t="inlineStr">
        <is>
          <t>Boiler annual service due</t>
        </is>
      </c>
      <c r="C4" s="27" t="inlineStr">
        <is>
          <t>Utility Room</t>
        </is>
      </c>
      <c r="D4" s="59" t="inlineStr">
        <is>
          <t>Medium</t>
        </is>
      </c>
      <c r="E4" s="60" t="inlineStr">
        <is>
          <t>Scheduled</t>
        </is>
      </c>
      <c r="F4" s="27" t="inlineStr">
        <is>
          <t>[Boiler Co]</t>
        </is>
      </c>
      <c r="G4" s="18" t="n">
        <v>120</v>
      </c>
      <c r="H4" s="19" t="inlineStr"/>
      <c r="I4" s="19" t="inlineStr">
        <is>
          <t>2025-07-15</t>
        </is>
      </c>
      <c r="J4" s="27" t="inlineStr">
        <is>
          <t>Host</t>
        </is>
      </c>
      <c r="K4" s="27" t="inlineStr">
        <is>
          <t>Annual legal requirement</t>
        </is>
      </c>
    </row>
    <row r="5" ht="18" customHeight="1">
      <c r="A5" s="27" t="inlineStr">
        <is>
          <t>2025-06-22</t>
        </is>
      </c>
      <c r="B5" s="27" t="inlineStr">
        <is>
          <t>Shower screen seal deteriorating</t>
        </is>
      </c>
      <c r="C5" s="27" t="inlineStr">
        <is>
          <t>Bathroom 1</t>
        </is>
      </c>
      <c r="D5" s="58" t="inlineStr">
        <is>
          <t>Low</t>
        </is>
      </c>
      <c r="E5" s="61" t="inlineStr">
        <is>
          <t>Open</t>
        </is>
      </c>
      <c r="F5" s="27" t="inlineStr">
        <is>
          <t>[Handyman]</t>
        </is>
      </c>
      <c r="G5" s="18" t="n">
        <v>45</v>
      </c>
      <c r="H5" s="19" t="inlineStr"/>
      <c r="I5" s="19" t="inlineStr"/>
      <c r="J5" s="27" t="inlineStr">
        <is>
          <t>Cleaner</t>
        </is>
      </c>
      <c r="K5" s="27" t="inlineStr">
        <is>
          <t>Noticed during turnover</t>
        </is>
      </c>
    </row>
    <row r="6" ht="18" customHeight="1">
      <c r="A6" s="27" t="inlineStr">
        <is>
          <t>[DATE]</t>
        </is>
      </c>
      <c r="B6" s="27" t="inlineStr">
        <is>
          <t>[ISSUE DESCRIPTION]</t>
        </is>
      </c>
      <c r="C6" s="27" t="inlineStr"/>
      <c r="D6" s="61" t="inlineStr">
        <is>
          <t>High</t>
        </is>
      </c>
      <c r="E6" s="61" t="inlineStr">
        <is>
          <t>Open</t>
        </is>
      </c>
      <c r="F6" s="27" t="inlineStr"/>
      <c r="G6" s="19" t="inlineStr"/>
      <c r="H6" s="19" t="inlineStr"/>
      <c r="I6" s="19" t="inlineStr"/>
      <c r="J6" s="27" t="inlineStr"/>
      <c r="K6" s="27" t="inlineStr"/>
    </row>
  </sheetData>
  <mergeCells count="1">
    <mergeCell ref="A1:K1"/>
  </mergeCells>
  <dataValidations count="2">
    <dataValidation sqref="D3:D1002" showDropDown="0" showInputMessage="0" showErrorMessage="0" allowBlank="1" type="list">
      <formula1>"High,Medium,Low"</formula1>
    </dataValidation>
    <dataValidation sqref="E3:E1002" showDropDown="0" showInputMessage="0" showErrorMessage="0" allowBlank="1" type="list">
      <formula1>"Open,In Progress,Scheduled,Complete,Deferred"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35" customWidth="1" min="11" max="11"/>
    <col width="13" customWidth="1" min="12" max="12"/>
    <col width="13" customWidth="1" min="13" max="13"/>
    <col width="20" customWidth="1" min="14" max="14"/>
  </cols>
  <sheetData>
    <row r="1" ht="30" customHeight="1">
      <c r="A1" s="29" t="inlineStr">
        <is>
          <t>REVIEW TRACKER  —  Monitor ratings, trends and response performance</t>
        </is>
      </c>
    </row>
    <row r="2" ht="22" customHeight="1">
      <c r="A2" s="30" t="inlineStr">
        <is>
          <t>TOTAL REVIEWS:</t>
        </is>
      </c>
      <c r="C2" s="32">
        <f>COUNTA(A5:A1000)</f>
        <v/>
      </c>
      <c r="D2" s="30" t="inlineStr">
        <is>
          <t>AVERAGE RATING:</t>
        </is>
      </c>
      <c r="F2" s="62">
        <f>IFERROR(AVERAGE(D5:D1000),"—")</f>
        <v/>
      </c>
      <c r="G2" s="30" t="inlineStr">
        <is>
          <t>5-STAR COUNT:</t>
        </is>
      </c>
      <c r="I2" s="32">
        <f>COUNTIF(E5:E1000,5)</f>
        <v/>
      </c>
      <c r="J2" s="30" t="inlineStr">
        <is>
          <t>RESPONSE RATE:</t>
        </is>
      </c>
      <c r="L2" s="63">
        <f>IFERROR(COUNTIF(L5:L1000,"Yes")/COUNTA(A5:A1000),"—")</f>
        <v/>
      </c>
    </row>
    <row r="3" ht="8" customHeight="1"/>
    <row r="4" ht="22" customHeight="1">
      <c r="A4" s="34" t="inlineStr">
        <is>
          <t>Date</t>
        </is>
      </c>
      <c r="B4" s="34" t="inlineStr">
        <is>
          <t>Booking Ref</t>
        </is>
      </c>
      <c r="C4" s="34" t="inlineStr">
        <is>
          <t>Guest Name</t>
        </is>
      </c>
      <c r="D4" s="34" t="inlineStr">
        <is>
          <t>Overall ★</t>
        </is>
      </c>
      <c r="E4" s="34" t="inlineStr">
        <is>
          <t>Cleanliness ★</t>
        </is>
      </c>
      <c r="F4" s="34" t="inlineStr">
        <is>
          <t>Accuracy ★</t>
        </is>
      </c>
      <c r="G4" s="34" t="inlineStr">
        <is>
          <t>Communication ★</t>
        </is>
      </c>
      <c r="H4" s="34" t="inlineStr">
        <is>
          <t>Check-In ★</t>
        </is>
      </c>
      <c r="I4" s="34" t="inlineStr">
        <is>
          <t>Value ★</t>
        </is>
      </c>
      <c r="J4" s="34" t="inlineStr">
        <is>
          <t>Location ★</t>
        </is>
      </c>
      <c r="K4" s="34" t="inlineStr">
        <is>
          <t>Review Snippet</t>
        </is>
      </c>
      <c r="L4" s="34" t="inlineStr">
        <is>
          <t>Response Sent</t>
        </is>
      </c>
      <c r="M4" s="34" t="inlineStr">
        <is>
          <t>Response Date</t>
        </is>
      </c>
      <c r="N4" s="34" t="inlineStr">
        <is>
          <t>Action Required</t>
        </is>
      </c>
    </row>
    <row r="5" ht="22" customHeight="1">
      <c r="A5" s="28" t="inlineStr">
        <is>
          <t>2025-06-14</t>
        </is>
      </c>
      <c r="B5" s="28" t="inlineStr">
        <is>
          <t>BK-001</t>
        </is>
      </c>
      <c r="C5" s="28" t="inlineStr">
        <is>
          <t>Sarah J.</t>
        </is>
      </c>
      <c r="D5" s="56" t="n">
        <v>5</v>
      </c>
      <c r="E5" s="56" t="n">
        <v>5</v>
      </c>
      <c r="F5" s="56" t="n">
        <v>5</v>
      </c>
      <c r="G5" s="56" t="n">
        <v>5</v>
      </c>
      <c r="H5" s="56" t="n">
        <v>5</v>
      </c>
      <c r="I5" s="56" t="n">
        <v>5</v>
      </c>
      <c r="J5" s="56" t="n">
        <v>5</v>
      </c>
      <c r="K5" s="14" t="inlineStr">
        <is>
          <t>"Absolutely perfect — spotless, beautifully decorated..."</t>
        </is>
      </c>
      <c r="L5" s="28" t="inlineStr">
        <is>
          <t>Yes</t>
        </is>
      </c>
      <c r="M5" s="28" t="inlineStr">
        <is>
          <t>2025-06-14</t>
        </is>
      </c>
      <c r="N5" s="28" t="inlineStr">
        <is>
          <t>None</t>
        </is>
      </c>
    </row>
    <row r="6" ht="22" customHeight="1">
      <c r="A6" s="27" t="inlineStr">
        <is>
          <t>2025-06-21</t>
        </is>
      </c>
      <c r="B6" s="27" t="inlineStr">
        <is>
          <t>BK-002</t>
        </is>
      </c>
      <c r="C6" s="27" t="inlineStr">
        <is>
          <t>Marcus T.</t>
        </is>
      </c>
      <c r="D6" s="57" t="n">
        <v>5</v>
      </c>
      <c r="E6" s="57" t="n">
        <v>5</v>
      </c>
      <c r="F6" s="57" t="n">
        <v>5</v>
      </c>
      <c r="G6" s="57" t="n">
        <v>5</v>
      </c>
      <c r="H6" s="57" t="n">
        <v>5</v>
      </c>
      <c r="I6" s="19" t="n">
        <v>4</v>
      </c>
      <c r="J6" s="57" t="n">
        <v>5</v>
      </c>
      <c r="K6" s="19" t="inlineStr">
        <is>
          <t>"Great place, well-equipped. Kitchen slightly small for 3."</t>
        </is>
      </c>
      <c r="L6" s="27" t="inlineStr">
        <is>
          <t>Yes</t>
        </is>
      </c>
      <c r="M6" s="27" t="inlineStr">
        <is>
          <t>2025-06-21</t>
        </is>
      </c>
      <c r="N6" s="27" t="inlineStr">
        <is>
          <t>None</t>
        </is>
      </c>
    </row>
    <row r="7" ht="22" customHeight="1">
      <c r="A7" s="28" t="inlineStr">
        <is>
          <t>[DATE]</t>
        </is>
      </c>
      <c r="B7" s="28" t="inlineStr"/>
      <c r="C7" s="28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28" t="inlineStr">
        <is>
          <t>No</t>
        </is>
      </c>
      <c r="M7" s="28" t="inlineStr"/>
      <c r="N7" s="28" t="inlineStr">
        <is>
          <t>Review request pending</t>
        </is>
      </c>
    </row>
  </sheetData>
  <mergeCells count="9">
    <mergeCell ref="A2:B2"/>
    <mergeCell ref="D2:E2"/>
    <mergeCell ref="F2"/>
    <mergeCell ref="G2:H2"/>
    <mergeCell ref="J2:K2"/>
    <mergeCell ref="L2"/>
    <mergeCell ref="C2"/>
    <mergeCell ref="I2"/>
    <mergeCell ref="A1:N1"/>
  </mergeCells>
  <dataValidations count="1">
    <dataValidation sqref="L5:L1004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3" customWidth="1" min="5" max="5"/>
    <col width="10" customWidth="1" min="6" max="6"/>
    <col width="13" customWidth="1" min="7" max="7"/>
    <col width="12" customWidth="1" min="8" max="8"/>
    <col width="14" customWidth="1" min="9" max="9"/>
    <col width="11" customWidth="1" min="10" max="10"/>
  </cols>
  <sheetData>
    <row r="1" ht="30" customHeight="1">
      <c r="A1" s="29" t="inlineStr">
        <is>
          <t>ANNUAL PERFORMANCE SUMMARY  —  Full year at a glance</t>
        </is>
      </c>
    </row>
    <row r="2" ht="22" customHeight="1">
      <c r="A2" s="34" t="inlineStr">
        <is>
          <t>Month</t>
        </is>
      </c>
      <c r="B2" s="34" t="inlineStr">
        <is>
          <t>Gross Revenue (€)</t>
        </is>
      </c>
      <c r="C2" s="34" t="inlineStr">
        <is>
          <t>Total Expenses (€)</t>
        </is>
      </c>
      <c r="D2" s="34" t="inlineStr">
        <is>
          <t>Net Profit (€)</t>
        </is>
      </c>
      <c r="E2" s="34" t="inlineStr">
        <is>
          <t>Profit Margin</t>
        </is>
      </c>
      <c r="F2" s="34" t="inlineStr">
        <is>
          <t>Bookings</t>
        </is>
      </c>
      <c r="G2" s="34" t="inlineStr">
        <is>
          <t>Nights Booked</t>
        </is>
      </c>
      <c r="H2" s="34" t="inlineStr">
        <is>
          <t>Occupancy %</t>
        </is>
      </c>
      <c r="I2" s="34" t="inlineStr">
        <is>
          <t>Avg Nightly Rate</t>
        </is>
      </c>
      <c r="J2" s="34" t="inlineStr">
        <is>
          <t>Avg Rating ★</t>
        </is>
      </c>
    </row>
    <row r="3" ht="18" customHeight="1">
      <c r="A3" s="28" t="inlineStr">
        <is>
          <t>January</t>
        </is>
      </c>
      <c r="B3" s="13" t="n">
        <v>850</v>
      </c>
      <c r="C3" s="13" t="n">
        <v>420</v>
      </c>
      <c r="D3" s="13" t="n">
        <v>430</v>
      </c>
      <c r="E3" s="14" t="inlineStr">
        <is>
          <t>50.6%</t>
        </is>
      </c>
      <c r="F3" s="14" t="n">
        <v>4</v>
      </c>
      <c r="G3" s="14" t="n">
        <v>12</v>
      </c>
      <c r="H3" s="14" t="inlineStr">
        <is>
          <t>43%</t>
        </is>
      </c>
      <c r="I3" s="13" t="n">
        <v>70.8</v>
      </c>
      <c r="J3" s="36" t="n">
        <v>4.9</v>
      </c>
    </row>
    <row r="4" ht="18" customHeight="1">
      <c r="A4" s="27" t="inlineStr">
        <is>
          <t>February</t>
        </is>
      </c>
      <c r="B4" s="18" t="n">
        <v>720</v>
      </c>
      <c r="C4" s="18" t="n">
        <v>390</v>
      </c>
      <c r="D4" s="18" t="n">
        <v>330</v>
      </c>
      <c r="E4" s="19" t="inlineStr">
        <is>
          <t>45.8%</t>
        </is>
      </c>
      <c r="F4" s="19" t="n">
        <v>3</v>
      </c>
      <c r="G4" s="19" t="n">
        <v>10</v>
      </c>
      <c r="H4" s="19" t="inlineStr">
        <is>
          <t>36%</t>
        </is>
      </c>
      <c r="I4" s="18" t="n">
        <v>72</v>
      </c>
      <c r="J4" s="57" t="n">
        <v>5</v>
      </c>
    </row>
    <row r="5" ht="18" customHeight="1">
      <c r="A5" s="28" t="inlineStr">
        <is>
          <t>March</t>
        </is>
      </c>
      <c r="B5" s="13" t="n">
        <v>980</v>
      </c>
      <c r="C5" s="13" t="n">
        <v>445</v>
      </c>
      <c r="D5" s="13" t="n">
        <v>535</v>
      </c>
      <c r="E5" s="14" t="inlineStr">
        <is>
          <t>54.6%</t>
        </is>
      </c>
      <c r="F5" s="14" t="n">
        <v>5</v>
      </c>
      <c r="G5" s="14" t="n">
        <v>16</v>
      </c>
      <c r="H5" s="14" t="inlineStr">
        <is>
          <t>57%</t>
        </is>
      </c>
      <c r="I5" s="13" t="n">
        <v>61.3</v>
      </c>
      <c r="J5" s="36" t="n">
        <v>4.8</v>
      </c>
    </row>
    <row r="6" ht="18" customHeight="1">
      <c r="A6" s="27" t="inlineStr">
        <is>
          <t>April</t>
        </is>
      </c>
      <c r="B6" s="18" t="n">
        <v>1100</v>
      </c>
      <c r="C6" s="18" t="n">
        <v>460</v>
      </c>
      <c r="D6" s="18" t="n">
        <v>640</v>
      </c>
      <c r="E6" s="19" t="inlineStr">
        <is>
          <t>58.2%</t>
        </is>
      </c>
      <c r="F6" s="19" t="n">
        <v>6</v>
      </c>
      <c r="G6" s="19" t="n">
        <v>18</v>
      </c>
      <c r="H6" s="19" t="inlineStr">
        <is>
          <t>64%</t>
        </is>
      </c>
      <c r="I6" s="18" t="n">
        <v>61.1</v>
      </c>
      <c r="J6" s="57" t="n">
        <v>5</v>
      </c>
    </row>
    <row r="7" ht="18" customHeight="1">
      <c r="A7" s="28" t="inlineStr">
        <is>
          <t>May</t>
        </is>
      </c>
      <c r="B7" s="13" t="n">
        <v>1350</v>
      </c>
      <c r="C7" s="13" t="n">
        <v>510</v>
      </c>
      <c r="D7" s="13" t="n">
        <v>840</v>
      </c>
      <c r="E7" s="14" t="inlineStr">
        <is>
          <t>62.2%</t>
        </is>
      </c>
      <c r="F7" s="14" t="n">
        <v>7</v>
      </c>
      <c r="G7" s="14" t="n">
        <v>21</v>
      </c>
      <c r="H7" s="14" t="inlineStr">
        <is>
          <t>75%</t>
        </is>
      </c>
      <c r="I7" s="13" t="n">
        <v>64.3</v>
      </c>
      <c r="J7" s="36" t="n">
        <v>4.9</v>
      </c>
    </row>
    <row r="8" ht="18" customHeight="1">
      <c r="A8" s="27" t="inlineStr">
        <is>
          <t>June</t>
        </is>
      </c>
      <c r="B8" s="18" t="n">
        <v>1680</v>
      </c>
      <c r="C8" s="18" t="n">
        <v>540</v>
      </c>
      <c r="D8" s="18" t="n">
        <v>1140</v>
      </c>
      <c r="E8" s="19" t="inlineStr">
        <is>
          <t>67.9%</t>
        </is>
      </c>
      <c r="F8" s="19" t="n">
        <v>8</v>
      </c>
      <c r="G8" s="19" t="n">
        <v>25</v>
      </c>
      <c r="H8" s="19" t="inlineStr">
        <is>
          <t>89%</t>
        </is>
      </c>
      <c r="I8" s="18" t="n">
        <v>67.2</v>
      </c>
      <c r="J8" s="57" t="n">
        <v>5</v>
      </c>
    </row>
    <row r="9" ht="18" customHeight="1">
      <c r="A9" s="28" t="inlineStr">
        <is>
          <t>July</t>
        </is>
      </c>
      <c r="B9" s="13" t="n">
        <v>1820</v>
      </c>
      <c r="C9" s="13" t="n">
        <v>560</v>
      </c>
      <c r="D9" s="13" t="n">
        <v>1260</v>
      </c>
      <c r="E9" s="14" t="inlineStr">
        <is>
          <t>69.2%</t>
        </is>
      </c>
      <c r="F9" s="14" t="n">
        <v>9</v>
      </c>
      <c r="G9" s="14" t="n">
        <v>27</v>
      </c>
      <c r="H9" s="14" t="inlineStr">
        <is>
          <t>96%</t>
        </is>
      </c>
      <c r="I9" s="13" t="n">
        <v>67.40000000000001</v>
      </c>
      <c r="J9" s="36" t="n">
        <v>4.8</v>
      </c>
    </row>
    <row r="10" ht="18" customHeight="1">
      <c r="A10" s="27" t="inlineStr">
        <is>
          <t>August</t>
        </is>
      </c>
      <c r="B10" s="18" t="n">
        <v>1750</v>
      </c>
      <c r="C10" s="18" t="n">
        <v>545</v>
      </c>
      <c r="D10" s="18" t="n">
        <v>1205</v>
      </c>
      <c r="E10" s="19" t="inlineStr">
        <is>
          <t>68.9%</t>
        </is>
      </c>
      <c r="F10" s="19" t="n">
        <v>8</v>
      </c>
      <c r="G10" s="19" t="n">
        <v>26</v>
      </c>
      <c r="H10" s="19" t="inlineStr">
        <is>
          <t>93%</t>
        </is>
      </c>
      <c r="I10" s="18" t="n">
        <v>67.3</v>
      </c>
      <c r="J10" s="38" t="n">
        <v>4.9</v>
      </c>
    </row>
    <row r="11" ht="18" customHeight="1">
      <c r="A11" s="28" t="inlineStr">
        <is>
          <t>September</t>
        </is>
      </c>
      <c r="B11" s="13" t="n">
        <v>1200</v>
      </c>
      <c r="C11" s="13" t="n">
        <v>490</v>
      </c>
      <c r="D11" s="13" t="n">
        <v>710</v>
      </c>
      <c r="E11" s="14" t="inlineStr">
        <is>
          <t>59.2%</t>
        </is>
      </c>
      <c r="F11" s="14" t="n">
        <v>6</v>
      </c>
      <c r="G11" s="14" t="n">
        <v>19</v>
      </c>
      <c r="H11" s="14" t="inlineStr">
        <is>
          <t>68%</t>
        </is>
      </c>
      <c r="I11" s="13" t="n">
        <v>63.2</v>
      </c>
      <c r="J11" s="56" t="n">
        <v>5</v>
      </c>
    </row>
    <row r="12" ht="18" customHeight="1">
      <c r="A12" s="27" t="inlineStr">
        <is>
          <t>October</t>
        </is>
      </c>
      <c r="B12" s="18" t="n">
        <v>980</v>
      </c>
      <c r="C12" s="18" t="n">
        <v>445</v>
      </c>
      <c r="D12" s="18" t="n">
        <v>535</v>
      </c>
      <c r="E12" s="19" t="inlineStr">
        <is>
          <t>54.6%</t>
        </is>
      </c>
      <c r="F12" s="19" t="n">
        <v>5</v>
      </c>
      <c r="G12" s="19" t="n">
        <v>15</v>
      </c>
      <c r="H12" s="19" t="inlineStr">
        <is>
          <t>54%</t>
        </is>
      </c>
      <c r="I12" s="18" t="n">
        <v>65.3</v>
      </c>
      <c r="J12" s="38" t="n">
        <v>4.8</v>
      </c>
    </row>
    <row r="13" ht="18" customHeight="1">
      <c r="A13" s="28" t="inlineStr">
        <is>
          <t>November</t>
        </is>
      </c>
      <c r="B13" s="13" t="n">
        <v>760</v>
      </c>
      <c r="C13" s="13" t="n">
        <v>400</v>
      </c>
      <c r="D13" s="13" t="n">
        <v>360</v>
      </c>
      <c r="E13" s="14" t="inlineStr">
        <is>
          <t>47.4%</t>
        </is>
      </c>
      <c r="F13" s="14" t="n">
        <v>4</v>
      </c>
      <c r="G13" s="14" t="n">
        <v>12</v>
      </c>
      <c r="H13" s="14" t="inlineStr">
        <is>
          <t>43%</t>
        </is>
      </c>
      <c r="I13" s="13" t="n">
        <v>63.3</v>
      </c>
      <c r="J13" s="56" t="n">
        <v>5</v>
      </c>
    </row>
    <row r="14" ht="18" customHeight="1">
      <c r="A14" s="27" t="inlineStr">
        <is>
          <t>December</t>
        </is>
      </c>
      <c r="B14" s="18" t="n">
        <v>1420</v>
      </c>
      <c r="C14" s="18" t="n">
        <v>520</v>
      </c>
      <c r="D14" s="18" t="n">
        <v>900</v>
      </c>
      <c r="E14" s="19" t="inlineStr">
        <is>
          <t>63.4%</t>
        </is>
      </c>
      <c r="F14" s="19" t="n">
        <v>7</v>
      </c>
      <c r="G14" s="19" t="n">
        <v>22</v>
      </c>
      <c r="H14" s="19" t="inlineStr">
        <is>
          <t>79%</t>
        </is>
      </c>
      <c r="I14" s="18" t="n">
        <v>64.5</v>
      </c>
      <c r="J14" s="38" t="n">
        <v>4.9</v>
      </c>
    </row>
    <row r="15" ht="24" customHeight="1">
      <c r="A15" s="64" t="inlineStr">
        <is>
          <t>FULL YEAR TOTAL / AVG</t>
        </is>
      </c>
      <c r="B15" s="23">
        <f>SUM(B3:B14)</f>
        <v/>
      </c>
      <c r="C15" s="23">
        <f>SUM(C3:C14)</f>
        <v/>
      </c>
      <c r="D15" s="23">
        <f>SUM(D3:D14)</f>
        <v/>
      </c>
      <c r="E15" s="24">
        <f>AVERAGE(E3:E14)</f>
        <v/>
      </c>
      <c r="F15" s="24">
        <f>SUM(F3:F14)</f>
        <v/>
      </c>
      <c r="G15" s="24">
        <f>SUM(G3:G14)</f>
        <v/>
      </c>
      <c r="H15" s="24">
        <f>AVERAGE(H3:H14)</f>
        <v/>
      </c>
      <c r="I15" s="24">
        <f>AVERAGE(I3:I14)</f>
        <v/>
      </c>
      <c r="J15" s="24">
        <f>AVERAGE(J3:J14)</f>
        <v/>
      </c>
    </row>
    <row r="16" ht="12" customHeight="1"/>
    <row r="17" ht="26" customHeight="1">
      <c r="A17" s="10" t="inlineStr">
        <is>
          <t xml:space="preserve">  ANNUAL GOALS — TRACK YOUR TARGETS</t>
        </is>
      </c>
    </row>
    <row r="18" ht="22" customHeight="1">
      <c r="A18" s="25" t="inlineStr">
        <is>
          <t>Goal</t>
        </is>
      </c>
      <c r="B18" s="25" t="inlineStr">
        <is>
          <t>Target</t>
        </is>
      </c>
      <c r="C18" s="25" t="inlineStr">
        <is>
          <t>Actual</t>
        </is>
      </c>
      <c r="D18" s="25" t="inlineStr">
        <is>
          <t>Status</t>
        </is>
      </c>
      <c r="E18" s="25" t="inlineStr">
        <is>
          <t>Notes</t>
        </is>
      </c>
    </row>
    <row r="19" ht="18" customHeight="1">
      <c r="A19" s="28" t="inlineStr">
        <is>
          <t>Annual gross revenue target</t>
        </is>
      </c>
      <c r="B19" s="14" t="inlineStr">
        <is>
          <t>€15,000</t>
        </is>
      </c>
      <c r="C19" s="14">
        <f>SUM(B3:B14)</f>
        <v/>
      </c>
      <c r="D19" s="14">
        <f>IF(C19&gt;=B19,"On Track","Below Target")</f>
        <v/>
      </c>
      <c r="E19" s="28" t="inlineStr">
        <is>
          <t>Update B19 with your target</t>
        </is>
      </c>
    </row>
    <row r="20" ht="18" customHeight="1">
      <c r="A20" s="27" t="inlineStr">
        <is>
          <t>Average rating target</t>
        </is>
      </c>
      <c r="B20" s="19" t="inlineStr">
        <is>
          <t>4.9 ★</t>
        </is>
      </c>
      <c r="C20" s="19">
        <f>AVERAGE(J3:J14)</f>
        <v/>
      </c>
      <c r="D20" s="19">
        <f>IF(C20&gt;=4.9,"On Track","Below Target")</f>
        <v/>
      </c>
      <c r="E20" s="27" t="inlineStr">
        <is>
          <t>Review after each 5 bookings</t>
        </is>
      </c>
    </row>
    <row r="21" ht="18" customHeight="1">
      <c r="A21" s="28" t="inlineStr">
        <is>
          <t>Annual occupancy target</t>
        </is>
      </c>
      <c r="B21" s="14" t="inlineStr">
        <is>
          <t>70%</t>
        </is>
      </c>
      <c r="C21" s="14">
        <f>AVERAGE(H3:H14)</f>
        <v/>
      </c>
      <c r="D21" s="14">
        <f>IF(C21&gt;="70%","On Track","Below Target")</f>
        <v/>
      </c>
      <c r="E21" s="28" t="inlineStr">
        <is>
          <t>Review pricing if below 65%</t>
        </is>
      </c>
    </row>
    <row r="22" ht="18" customHeight="1">
      <c r="A22" s="27" t="inlineStr">
        <is>
          <t>Total bookings target</t>
        </is>
      </c>
      <c r="B22" s="19" t="inlineStr">
        <is>
          <t>60</t>
        </is>
      </c>
      <c r="C22" s="19">
        <f>SUM(F3:F14)</f>
        <v/>
      </c>
      <c r="D22" s="19">
        <f>IF(C22&gt;=B22,"On Track","Below Target")</f>
        <v/>
      </c>
      <c r="E22" s="27" t="inlineStr">
        <is>
          <t>Based on ~5 per month</t>
        </is>
      </c>
    </row>
    <row r="23" ht="18" customHeight="1">
      <c r="A23" s="28" t="inlineStr">
        <is>
          <t>Superhost status</t>
        </is>
      </c>
      <c r="B23" s="14" t="inlineStr">
        <is>
          <t>Maintain</t>
        </is>
      </c>
      <c r="C23" s="14" t="inlineStr">
        <is>
          <t>Check App</t>
        </is>
      </c>
      <c r="D23" s="14" t="inlineStr">
        <is>
          <t>Review Quarterly</t>
        </is>
      </c>
      <c r="E23" s="28" t="inlineStr">
        <is>
          <t>Requires 4.8★, 90% response rate</t>
        </is>
      </c>
    </row>
  </sheetData>
  <mergeCells count="2">
    <mergeCell ref="A1:J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2026-06-25T21:17:18Z</dcterms:created>
  <dcterms:modified xmlns:dcterms="http://purl.org/dc/terms/" xmlns:xsi="http://www.w3.org/2001/XMLSchema-instance" xsi:type="dcterms:W3CDTF">2026-06-25T21:17:18Z</dcterms:modified>
</cp:coreProperties>
</file>